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styles.xml" ContentType="application/vnd.openxmlformats-officedocument.spreadsheetml.styles+xml"/>
  <Override PartName="/xl/worksheets/sheet9.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_rels/sheet2.xml.rels" ContentType="application/vnd.openxmlformats-package.relationships+xml"/>
  <Override PartName="/xl/worksheets/_rels/sheet3.xml.rels" ContentType="application/vnd.openxmlformats-package.relationships+xml"/>
  <Override PartName="/xl/worksheets/_rels/sheet5.xml.rels" ContentType="application/vnd.openxmlformats-package.relationships+xml"/>
  <Override PartName="/xl/workbook.xml" ContentType="application/vnd.ms-excel.sheet.macroEnabled.main+xml"/>
  <Override PartName="/xl/sharedStrings.xml" ContentType="application/vnd.openxmlformats-officedocument.spreadsheetml.sharedStrings+xml"/>
  <Override PartName="/xl/externalLinks/_rels/externalLink1.xml.rels" ContentType="application/vnd.openxmlformats-package.relationships+xml"/>
  <Override PartName="/xl/externalLinks/externalLink1.xml" ContentType="application/vnd.openxmlformats-officedocument.spreadsheetml.externalLink+xml"/>
  <Override PartName="/xl/vbaProject.bin" ContentType="application/vnd.ms-office.vbaProject"/>
  <Override PartName="/xl/drawings/drawing1.xml" ContentType="application/vnd.openxmlformats-officedocument.drawing+xml"/>
  <Override PartName="/xl/drawings/drawing2.xml" ContentType="application/vnd.openxmlformats-officedocument.drawing+xml"/>
  <Override PartName="/xl/drawings/_rels/drawing2.xml.rels" ContentType="application/vnd.openxmlformats-package.relationships+xml"/>
  <Override PartName="/xl/charts/chart1.xml" ContentType="application/vnd.openxmlformats-officedocument.drawingml.chart+xml"/>
  <Override PartName="/xl/_rels/workbook.xml.rels" ContentType="application/vnd.openxmlformats-package.relationships+xml"/>
  <Override PartName="/customUI/customUI.xml" ContentType="applicatio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microsoft.com/office/2006/relationships/ui/extensibility" Target="customUI/customUI.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2"/>
  </bookViews>
  <sheets>
    <sheet name="Settings" sheetId="1" state="hidden" r:id="rId3"/>
    <sheet name="Help" sheetId="2" state="visible" r:id="rId4"/>
    <sheet name="Schedule" sheetId="3" state="visible" r:id="rId5"/>
    <sheet name="Progress" sheetId="4" state="visible" r:id="rId6"/>
    <sheet name="AnalysisReport" sheetId="5" state="visible" r:id="rId7"/>
    <sheet name="Calendar" sheetId="6" state="visible" r:id="rId8"/>
    <sheet name="TranslatedLanguages" sheetId="7" state="hidden" r:id="rId9"/>
    <sheet name="Workload" sheetId="8" state="visible" r:id="rId10"/>
    <sheet name="ServerData" sheetId="9" state="visible" r:id="rId11"/>
  </sheets>
  <externalReferences>
    <externalReference r:id="rId12"/>
  </externalReferences>
  <definedNames>
    <definedName function="false" hidden="false" localSheetId="2" name="_xlnm.Print_Area" vbProcedure="false">Schedule!$D$1:$BL$56</definedName>
    <definedName function="false" hidden="false" name="ACTUAL_RATE" vbProcedure="false">Progress!$B$21</definedName>
    <definedName function="false" hidden="false" name="ACTUAL_WORKLOAD" vbProcedure="false">Progress!$B$12</definedName>
    <definedName function="false" hidden="false" name="ACTUAL_WORKLOAD2" vbProcedure="false">Progress!$B$15</definedName>
    <definedName function="false" hidden="false" name="English_Name" vbProcedure="false">TranslatedLanguages!$D$1</definedName>
    <definedName function="false" hidden="false" name="LOCAL_DATE_SEPARATOR" vbProcedure="false">INDEX(get.workspace(37),17)</definedName>
    <definedName function="false" hidden="false" name="LOCAL_DAY_FORMAT" vbProcedure="false">INDEX(get.workspace(37),21)</definedName>
    <definedName function="false" hidden="false" name="LOCAL_HOUR_FORMAT" vbProcedure="false">INDEX(get.workspace(37),22)</definedName>
    <definedName function="false" hidden="false" name="LOCAL_MINUTE_FORMAT" vbProcedure="false">INDEX(get.workspace(37),23)</definedName>
    <definedName function="false" hidden="false" name="LOCAL_MONTH_FORMAT" vbProcedure="false">INDEX(get.workspace(37),20)</definedName>
    <definedName function="false" hidden="false" name="LOCAL_MYSQL_DATE_FORMAT" vbProcedure="false">REPT(LOCAL_YEAR_FORMAT,4)&amp;LOCAL_DATE_SEPARATOR&amp;REPT(LOCAL_MONTH_FORMAT,2)&amp;LOCAL_DATE_SEPARATOR&amp;REPT(LOCAL_DAY_FORMAT,2)&amp;" "&amp;REPT(LOCAL_HOUR_FORMAT,2)&amp;LOCAL_TIME_SEPARATOR&amp;REPT(LOCAL_MINUTE_FORMAT,2)&amp;LOCAL_TIME_SEPARATOR&amp;REPT(LOCAL_SECOND_FORMAT,2)</definedName>
    <definedName function="false" hidden="false" name="LOCAL_YEAR_FORMAT" vbProcedure="false">INDEX(get.workspace(37),19)</definedName>
    <definedName function="false" hidden="false" name="LOCAL_TIME_SEPARATOR" vbProcedure="false">INDEX(get.workspace(37),18)</definedName>
    <definedName function="false" hidden="false" name="LOCAL_SECOND_FORMAT" vbProcedure="false">INDEX(get.workspace(37),24)</definedName>
    <definedName function="false" hidden="false" name="PLANNED_RATE" vbProcedure="false">Progress!$B$18</definedName>
    <definedName function="false" hidden="false" name="PLANNED_WORKLOAD" vbProcedure="false">Progress!$B$9</definedName>
    <definedName function="false" hidden="false" name="RATE_GAP" vbProcedure="false">Progress!$B$24</definedName>
    <definedName function="false" hidden="false" name="RNG_ACTUAL_END_DATE_COL_NAME" vbProcedure="false">Schedule!$X$3</definedName>
    <definedName function="false" hidden="false" name="RNG_ACTUAL_RATE_COL_NAME" vbProcedure="false">Schedule!$AE$3</definedName>
    <definedName function="false" hidden="false" name="RNG_ACTUAL_START_DATE_COL_NAME" vbProcedure="false">Schedule!$W$3</definedName>
    <definedName function="false" hidden="false" name="RNG_ACTUAL_TOTAL_DURATION_COL_NAME" vbProcedure="false">Schedule!$Z$3</definedName>
    <definedName function="false" hidden="false" name="RNG_ACTUAL_TOTAL_WORKLOAD_COL_NAME" vbProcedure="false">Schedule!$Y$3</definedName>
    <definedName function="false" hidden="false" name="RNG_CALENDAR_COL_NAME" vbProcedure="false">Schedule!$R$3</definedName>
    <definedName function="false" hidden="false" name="RNG_DELIVERABLES_COL_NAME" vbProcedure="false">Schedule!$AC$3</definedName>
    <definedName function="false" hidden="false" name="RNG_END_DATE_COL_NAME" vbProcedure="false">Schedule!$Q$3</definedName>
    <definedName function="false" hidden="false" name="RNG_ETC_COL_NAME" vbProcedure="false">Schedule!$O$3</definedName>
    <definedName function="false" hidden="false" name="RNG_GANTT_AREA_FIRST_COL_NAME" vbProcedure="false">Schedule!$AF$4</definedName>
    <definedName function="false" hidden="false" name="RNG_PLAN_DURATION_COL_NAME" vbProcedure="false">Schedule!$V$3</definedName>
    <definedName function="false" hidden="false" name="RNG_PLAN_RATE_COL_NAME" vbProcedure="false">Schedule!$AD$3</definedName>
    <definedName function="false" hidden="false" name="RNG_PLAN_WORKLOAD_COL_NAME" vbProcedure="false">Schedule!$T$3</definedName>
    <definedName function="false" hidden="false" name="RNG_RESOURCE_COL_NAME" vbProcedure="false">Schedule!$AB$3</definedName>
    <definedName function="false" hidden="false" name="RNG_RESOURCE_WEIGHT_COL_NAME" vbProcedure="false">Schedule!$AA$3</definedName>
    <definedName function="false" hidden="false" name="RNG_START_DATE_COL_NAME" vbProcedure="false">Schedule!$P$3</definedName>
    <definedName function="false" hidden="false" name="RNG_TASK_FIRST_COL_NAME" vbProcedure="false">Schedule!$E$3</definedName>
    <definedName function="false" hidden="false" name="RNG_TOTAL_DURATION_COL_NAME" vbProcedure="false">Schedule!$U$3</definedName>
    <definedName function="false" hidden="false" name="RNG_TOTAL_WORKLOAD_COL_NAME" vbProcedure="false">Schedule!$S$3</definedName>
    <definedName function="false" hidden="false" name="RNG_WBS_AREA_LAST_COL_NAME" vbProcedure="false">Schedule!$AE$3</definedName>
    <definedName function="false" hidden="false" name="RNG_WBS_COL_NAME" vbProcedure="false">Schedule!$D$3</definedName>
    <definedName function="false" hidden="false" name="RNG_WBS_LEVEL_COL_NAME" vbProcedure="false">Schedule!$C$3</definedName>
    <definedName function="false" hidden="false" name="STD_CAL" vbProcedure="false">Calendar!$B$5:$B$304</definedName>
    <definedName function="false" hidden="false" name="TOTAL_WORKLOAD" vbProcedure="false">Progress!$B$6</definedName>
    <definedName function="false" hidden="false" name="UD_CAL1" vbProcedure="false">Calendar!$E$5:$E$304</definedName>
    <definedName function="false" hidden="false" name="UD_CAL2" vbProcedure="false">Calendar!$H$5:$H$304</definedName>
    <definedName function="false" hidden="false" localSheetId="2" name="Z_02FBC6E6_CD2B_48E2_BC55_64C05A10B473_.wvu.FilterData" vbProcedure="false">Schedule!$E$4:$W$4</definedName>
    <definedName function="false" hidden="false" localSheetId="2" name="Z_0A64F8D9_59E4_4471_A54B_AB6085820F8B_.wvu.FilterData" vbProcedure="false">Schedule!$E$4:$W$4</definedName>
    <definedName function="false" hidden="false" localSheetId="2" name="Z_0A64F8D9_59E4_4471_A54B_AB6085820F8B_.wvu.PrintArea" vbProcedure="false">Schedule!$E$4:$AE$4</definedName>
    <definedName function="false" hidden="false" localSheetId="2" name="Z_0B810681_CC81_4141_9F16_24B3FD4F0FB8_.wvu.FilterData" vbProcedure="false">Schedule!$E$4:$W$4</definedName>
    <definedName function="false" hidden="false" localSheetId="2" name="Z_0B810681_CC81_4141_9F16_24B3FD4F0FB8_.wvu.PrintArea" vbProcedure="false">Schedule!$E$4:$AE$4</definedName>
    <definedName function="false" hidden="false" localSheetId="2" name="Z_45F170B6_3544_43F8_BFC7_D657B723AABC_.wvu.FilterData" vbProcedure="false">Schedule!$E$4:$W$4</definedName>
    <definedName function="false" hidden="false" localSheetId="2" name="Z_45F170B6_3544_43F8_BFC7_D657B723AABC_.wvu.PrintArea" vbProcedure="false">Schedule!$E$4:$AE$4</definedName>
    <definedName function="false" hidden="false" localSheetId="2" name="Z_6C04A49A_6140_42F5_B660_358F3428D555_.wvu.FilterData" vbProcedure="false">Schedule!$E$4:$W$4</definedName>
    <definedName function="false" hidden="false" localSheetId="2" name="Z_6C04A49A_6140_42F5_B660_358F3428D555_.wvu.PrintArea" vbProcedure="false">Schedule!$E$4:$AE$4</definedName>
    <definedName function="false" hidden="false" localSheetId="2" name="Z_717B341C_ADF7_4494_8FE3_F9159C14788B_.wvu.FilterData" vbProcedure="false">Schedule!$E$4:$W$4</definedName>
    <definedName function="false" hidden="false" localSheetId="2" name="Z_96DEAA77_2828_4E97_975A_CF93EF5D9712_.wvu.FilterData" vbProcedure="false">Schedule!$E$4:$W$4</definedName>
    <definedName function="false" hidden="false" localSheetId="2" name="Z_AF9F6769_16BA_4444_B539_537212F9672A_.wvu.FilterData" vbProcedure="false">Schedule!$E$4:$W$4</definedName>
    <definedName function="false" hidden="false" localSheetId="2" name="Z_AF9F6769_16BA_4444_B539_537212F9672A_.wvu.PrintArea" vbProcedure="false">Schedule!$E$4:$AE$4</definedName>
    <definedName function="false" hidden="false" localSheetId="2" name="Z_B0AA3114_3257_4D99_8E15_F0A183B56293_.wvu.FilterData" vbProcedure="false">Schedule!$E$4:$W$4</definedName>
    <definedName function="false" hidden="false" localSheetId="2" name="Z_B4798534_C27D_422C_BD87_0A71D9C8BAA9_.wvu.FilterData" vbProcedure="false">Schedule!$E$4:$W$4</definedName>
    <definedName function="false" hidden="false" localSheetId="2" name="Z_C7B87852_3417_4B82_AD8F_04929FC46960_.wvu.FilterData" vbProcedure="false">Schedule!$E$4:$W$4</definedName>
    <definedName function="false" hidden="false" localSheetId="2" name="Z_CD147E05_78AB_4F1A_996E_7FAB0BB4629B_.wvu.FilterData" vbProcedure="false">Schedule!$E$4:$W$4</definedName>
    <definedName function="false" hidden="false" localSheetId="2" name="Z_F8F33EAC_6737_4237_A48D_05833D89E8C9_.wvu.FilterData" vbProcedure="false">Schedule!$E$4:$W$4</definedName>
    <definedName function="false" hidden="false" localSheetId="2" name="Z_F8F33EAC_6737_4237_A48D_05833D89E8C9_.wvu.PrintArea" vbProcedure="false">Schedule!$E$4:$AE$4</definedName>
    <definedName function="false" hidden="false" localSheetId="2" name="Z_FA644498_2FA7_4E23_AA15_463455A1D2EE_.wvu.FilterData" vbProcedure="false">Schedule!$E$4:$W$4</definedName>
    <definedName function="false" hidden="false" localSheetId="2" name="_xlnm._FilterDatabase" vbProcedure="false">Schedule!$P$3:$AE$4</definedName>
    <definedName function="false" hidden="false" localSheetId="7" name="ACTUAL_RATE" vbProcedure="false">[1]Progress!$B$21</definedName>
    <definedName function="false" hidden="false" localSheetId="7" name="LOCAL_MYSQL_DATE_FORMAT" vbProcedure="false">REPT(LOCAL_YEAR_FORMAT,4)&amp;LOCAL_DATE_SEPARATOR&amp;REPT(LOCAL_MONTH_FORMAT,2)&amp;LOCAL_DATE_SEPARATOR&amp;REPT(LOCAL_DAY_FORMAT,2)&amp;" "&amp;REPT(LOCAL_HOUR_FORMAT,2)&amp;LOCAL_TIME_SEPARATOR&amp;REPT(LOCAL_MINUTE_FORMAT,2)&amp;LOCAL_TIME_SEPARATOR&amp;REPT(LOCAL_SECOND_FORMAT,2)</definedName>
    <definedName function="false" hidden="false" localSheetId="7" name="PLANNED_RATE" vbProcedure="false">[1]Progress!$B$18</definedName>
    <definedName function="false" hidden="false" localSheetId="7" name="RNG_WBS_AREA_LAST_COL_NAME" vbProcedure="false">[1]schedule!#ref!</definedName>
    <definedName function="false" hidden="false" localSheetId="7" name="STD_CAL" vbProcedure="false">[1]Calendar!$B$5:$B$304</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<sst xmlns="http://schemas.openxmlformats.org/spreadsheetml/2006/main" count="2179" uniqueCount="1373">
  <si>
    <t xml:space="preserve">ITEM</t>
  </si>
  <si>
    <t xml:space="preserve">VALUE1</t>
  </si>
  <si>
    <t xml:space="preserve">VALUE2</t>
  </si>
  <si>
    <t xml:space="preserve">VALUE3</t>
  </si>
  <si>
    <t xml:space="preserve">INSERTED_DATE</t>
  </si>
  <si>
    <t xml:space="preserve">UPDATED_DATE</t>
  </si>
  <si>
    <t xml:space="preserve">COMPANY</t>
  </si>
  <si>
    <t xml:space="preserve">XLWorks</t>
  </si>
  <si>
    <t xml:space="preserve">DO NOT UPDATE</t>
  </si>
  <si>
    <t xml:space="preserve">AUTHOR_NAME</t>
  </si>
  <si>
    <t xml:space="preserve">AUTHOR_EMAIL</t>
  </si>
  <si>
    <t xml:space="preserve">admin@xlworks.net</t>
  </si>
  <si>
    <t xml:space="preserve">PROGRAM_NAME</t>
  </si>
  <si>
    <t xml:space="preserve">XLGantt</t>
  </si>
  <si>
    <t xml:space="preserve">PROGRAM_SITE</t>
  </si>
  <si>
    <t xml:space="preserve">http://xlworks.net</t>
  </si>
  <si>
    <t xml:space="preserve">PROGRAM_SITE_DISP</t>
  </si>
  <si>
    <t xml:space="preserve">VERSION</t>
  </si>
  <si>
    <t xml:space="preserve">3.0.0</t>
  </si>
  <si>
    <t xml:space="preserve">{"TASK_FIRST_COL":"5","START_ROW":"5","WBS_AREA_LAST_COL":"31"}</t>
  </si>
  <si>
    <t xml:space="preserve">RELEASE_DATE</t>
  </si>
  <si>
    <t xml:space="preserve">LICENSE</t>
  </si>
  <si>
    <t xml:space="preserve">Freeware</t>
  </si>
  <si>
    <t xml:space="preserve">OPTIONS_GENERAL</t>
  </si>
  <si>
    <t xml:space="preserve">Name:projectName</t>
  </si>
  <si>
    <r>
      <rPr>
        <sz val="10"/>
        <rFont val="Calibri"/>
        <family val="2"/>
        <charset val="1"/>
      </rPr>
      <t xml:space="preserve">XYZ</t>
    </r>
    <r>
      <rPr>
        <sz val="10"/>
        <rFont val="돋움"/>
        <family val="3"/>
        <charset val="129"/>
      </rPr>
      <t xml:space="preserve">시스템 구축</t>
    </r>
  </si>
  <si>
    <t xml:space="preserve">Name:isConfirmedProjectBasicInfo</t>
  </si>
  <si>
    <t xml:space="preserve">Name:projectStartDate</t>
  </si>
  <si>
    <t xml:space="preserve">Name:projectEndDate</t>
  </si>
  <si>
    <t xml:space="preserve">Name:scheduleSheetPosition</t>
  </si>
  <si>
    <t xml:space="preserve">SCHEDULE_SHEET_POSITION:3545151617181920212223242526272829303132</t>
  </si>
  <si>
    <t xml:space="preserve">Name:setTaskDateToProjectDate</t>
  </si>
  <si>
    <t xml:space="preserve">Name:optScheduleChangeMgt</t>
  </si>
  <si>
    <t xml:space="preserve">Name:optPlanRateCriteriaDate</t>
  </si>
  <si>
    <t xml:space="preserve">TODAY</t>
  </si>
  <si>
    <t xml:space="preserve">Name:optFirstDayOfWeek</t>
  </si>
  <si>
    <t xml:space="preserve">Name:chkWBSUpdateExecuteYN</t>
  </si>
  <si>
    <t xml:space="preserve">Name:chkCheckForUpdatesOnStartup</t>
  </si>
  <si>
    <t xml:space="preserve">Name:optNonWorkingDays</t>
  </si>
  <si>
    <t xml:space="preserve">Name:chkImportDataOnStartup</t>
  </si>
  <si>
    <t xml:space="preserve">Name:optRecalcWBSArea</t>
  </si>
  <si>
    <t xml:space="preserve">Name:optWeekNum</t>
  </si>
  <si>
    <t xml:space="preserve">OPTIONS_WBS_GANTT</t>
  </si>
  <si>
    <t xml:space="preserve">Name:completeTaskGrayDisplay</t>
  </si>
  <si>
    <t xml:space="preserve">Name:taskDispInGroup</t>
  </si>
  <si>
    <t xml:space="preserve">Name:taskDispInSub</t>
  </si>
  <si>
    <t xml:space="preserve">Name:dateDisp</t>
  </si>
  <si>
    <t xml:space="preserve">Name:ganttColWidth</t>
  </si>
  <si>
    <t xml:space="preserve">Name:taskNameDisplayPosition</t>
  </si>
  <si>
    <t xml:space="preserve">Name:actualRateDisp</t>
  </si>
  <si>
    <t xml:space="preserve">Name:groupTaskInteriorGrayDisplay</t>
  </si>
  <si>
    <t xml:space="preserve">Name:optGanttChartColumnDisplay</t>
  </si>
  <si>
    <t xml:space="preserve">Name:applyUserInputFirst</t>
  </si>
  <si>
    <t xml:space="preserve">Name:txtGanttChartZoomRatio</t>
  </si>
  <si>
    <t xml:space="preserve">Name:plannedRateDisp</t>
  </si>
  <si>
    <t xml:space="preserve">Name:resourceDisp</t>
  </si>
  <si>
    <t xml:space="preserve">Name:taskDisp</t>
  </si>
  <si>
    <t xml:space="preserve">Name:groupRows</t>
  </si>
  <si>
    <t xml:space="preserve">Name:dateDispOnTimescale</t>
  </si>
  <si>
    <t xml:space="preserve">Name:txtNumberOfTaskColumn</t>
  </si>
  <si>
    <t xml:space="preserve">OPTIONS_DELIVERABLES_MGT</t>
  </si>
  <si>
    <t xml:space="preserve">Name:chkDeliverablesMgt</t>
  </si>
  <si>
    <t xml:space="preserve">Name:savePathType</t>
  </si>
  <si>
    <t xml:space="preserve">DEFINED</t>
  </si>
  <si>
    <t xml:space="preserve">Name:txtDefinedPath</t>
  </si>
  <si>
    <t xml:space="preserve">C:\Temp</t>
  </si>
  <si>
    <t xml:space="preserve">Name:txtAutoDefinedBasePath</t>
  </si>
  <si>
    <t xml:space="preserve">OPTIONS_DELIVERABLES_PGM_PATH</t>
  </si>
  <si>
    <t xml:space="preserve">Name:txtPgmName1</t>
  </si>
  <si>
    <t xml:space="preserve">파워포인트</t>
  </si>
  <si>
    <t xml:space="preserve">Name:txtFileExt1</t>
  </si>
  <si>
    <t xml:space="preserve">ppt*</t>
  </si>
  <si>
    <t xml:space="preserve">Name:txtPgmPath1</t>
  </si>
  <si>
    <t xml:space="preserve">자동지정</t>
  </si>
  <si>
    <t xml:space="preserve">Name:chkInclude2SelectList1</t>
  </si>
  <si>
    <t xml:space="preserve">Name:txtPgmName2</t>
  </si>
  <si>
    <t xml:space="preserve">워드</t>
  </si>
  <si>
    <t xml:space="preserve">Name:txtFileExt2</t>
  </si>
  <si>
    <t xml:space="preserve">doc*</t>
  </si>
  <si>
    <t xml:space="preserve">Name:txtPgmPath2</t>
  </si>
  <si>
    <t xml:space="preserve">Name:chkInclude2SelectList2</t>
  </si>
  <si>
    <t xml:space="preserve">Name:txtPgmName3</t>
  </si>
  <si>
    <t xml:space="preserve">엑셀</t>
  </si>
  <si>
    <t xml:space="preserve">Name:txtFileExt3</t>
  </si>
  <si>
    <t xml:space="preserve">xls*</t>
  </si>
  <si>
    <t xml:space="preserve">Name:txtPgmPath3</t>
  </si>
  <si>
    <t xml:space="preserve">Name:chkInclude2SelectList3</t>
  </si>
  <si>
    <t xml:space="preserve">Name:txtPgmName4</t>
  </si>
  <si>
    <t xml:space="preserve">AutoCAD</t>
  </si>
  <si>
    <t xml:space="preserve">Name:txtFileExt4</t>
  </si>
  <si>
    <t xml:space="preserve">dwg</t>
  </si>
  <si>
    <t xml:space="preserve">Name:txtPgmPath4</t>
  </si>
  <si>
    <t xml:space="preserve">C:\Program Files\Autodesk\AutoCAD 2019\acad.exe</t>
  </si>
  <si>
    <t xml:space="preserve">Name:chkInclude2SelectList4</t>
  </si>
  <si>
    <t xml:space="preserve">Name:txtPgmName5</t>
  </si>
  <si>
    <t xml:space="preserve">Notepad++</t>
  </si>
  <si>
    <t xml:space="preserve">Name:txtFileExt5</t>
  </si>
  <si>
    <t xml:space="preserve">html</t>
  </si>
  <si>
    <t xml:space="preserve">Name:txtPgmPath5</t>
  </si>
  <si>
    <t xml:space="preserve">C:\Program Files\Notepad++\notepad++.exe</t>
  </si>
  <si>
    <t xml:space="preserve">Name:chkInclude2SelectList5</t>
  </si>
  <si>
    <t xml:space="preserve">Name:txtPgmName6</t>
  </si>
  <si>
    <t xml:space="preserve">메모장</t>
  </si>
  <si>
    <t xml:space="preserve">Name:txtFileExt6</t>
  </si>
  <si>
    <t xml:space="preserve">txt</t>
  </si>
  <si>
    <t xml:space="preserve">Name:txtPgmPath6</t>
  </si>
  <si>
    <t xml:space="preserve">C:\WINDOWS\system32\notepad.exe</t>
  </si>
  <si>
    <t xml:space="preserve">Name:chkInclude2SelectList6</t>
  </si>
  <si>
    <t xml:space="preserve">Name:txtPgmName7</t>
  </si>
  <si>
    <t xml:space="preserve">Name:txtFileExt7</t>
  </si>
  <si>
    <t xml:space="preserve">Name:txtPgmPath7</t>
  </si>
  <si>
    <t xml:space="preserve">Name:chkInclude2SelectList7</t>
  </si>
  <si>
    <t xml:space="preserve">Name:txtPgmName8</t>
  </si>
  <si>
    <t xml:space="preserve">Name:txtFileExt8</t>
  </si>
  <si>
    <t xml:space="preserve">Name:txtPgmPath8</t>
  </si>
  <si>
    <t xml:space="preserve">Name:chkInclude2SelectList8</t>
  </si>
  <si>
    <t xml:space="preserve">OPTIONS_LANGUAGE</t>
  </si>
  <si>
    <t xml:space="preserve">Name:languageSelectionType</t>
  </si>
  <si>
    <t xml:space="preserve">Name:languageSelectedByManual</t>
  </si>
  <si>
    <t xml:space="preserve">Name:selectedLanguageList</t>
  </si>
  <si>
    <t xml:space="preserve">1:English,82:Korean</t>
  </si>
  <si>
    <t xml:space="preserve">Name:lastTranslatedLanguage</t>
  </si>
  <si>
    <t xml:space="preserve">        엑셀간트(XLGantt) - 엑셀 일정관리</t>
  </si>
  <si>
    <t xml:space="preserve">XLGantt 3.0.0 ⓒXLWorks </t>
  </si>
  <si>
    <t xml:space="preserve">도움말, 최신 버전 다운로드 https://xlworks.net </t>
  </si>
  <si>
    <t xml:space="preserve">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</si>
  <si>
    <t xml:space="preserve">시트 구성</t>
  </si>
  <si>
    <t xml:space="preserve">Schedule</t>
  </si>
  <si>
    <t xml:space="preserve">작업과 일정을 입력하면 진척율이 계산되며 작업의 일정을 간트차트로 표시해 준다.</t>
  </si>
  <si>
    <t xml:space="preserve">Progress</t>
  </si>
  <si>
    <t xml:space="preserve">작업량, 진척율 등을 볼 수 있다.</t>
  </si>
  <si>
    <t xml:space="preserve">AnalysisReport</t>
  </si>
  <si>
    <t xml:space="preserve">담당별 진행율, Workload등 분석용 Report를 만들어서 보여준다.</t>
  </si>
  <si>
    <t xml:space="preserve">Calendar</t>
  </si>
  <si>
    <t xml:space="preserve">프로젝트의 휴무일을 설정한다.</t>
  </si>
  <si>
    <t xml:space="preserve">Workload</t>
  </si>
  <si>
    <t xml:space="preserve">Workload data를 주별/월별로 만들어 준다. 피벗 등의 기능으로 사용자가 원하는대로 분석을 할 수 있다.</t>
  </si>
  <si>
    <t xml:space="preserve">ServerData</t>
  </si>
  <si>
    <t xml:space="preserve">Server가 별도로 존재하는 IT시스템의 일정관리 Data를 PC에서 보고자할 때 사용한다.</t>
  </si>
  <si>
    <t xml:space="preserve">TranslatedLanguages</t>
  </si>
  <si>
    <t xml:space="preserve">(숨겨진 시트) 언어별 번역이 들어 있다.</t>
  </si>
  <si>
    <t xml:space="preserve">사용법</t>
  </si>
  <si>
    <t xml:space="preserve">간단 사용법</t>
  </si>
  <si>
    <t xml:space="preserve">기능을 간단히 빨리 익히고 싶으면 “간단 사용법”을 참고한다</t>
  </si>
  <si>
    <t xml:space="preserve">도움말</t>
  </si>
  <si>
    <t xml:space="preserve">작업입력, 스케줄 업데이트</t>
  </si>
  <si>
    <t xml:space="preserve">작업명, 시작일, 완료일, 진척율을 입력하면 휴무일, 가중치를 고려하여 자동으로 작업기간, 계획진척율, 실적진척율 등이 계산된다.</t>
  </si>
  <si>
    <t xml:space="preserve">간트차트 표시방법 설정</t>
  </si>
  <si>
    <t xml:space="preserve">Bar chart형태로 간트차트를 보여주고 있으며 여러 가지 표시방법을 옵션에서 설정할 수 있다.</t>
  </si>
  <si>
    <t xml:space="preserve">프로젝트 전체 진행상황 파악하기</t>
  </si>
  <si>
    <t xml:space="preserve">진척율을 이용하여 프로젝트 전체 진행상황을 파악할 수 있다.</t>
  </si>
  <si>
    <t xml:space="preserve">분석 리포트</t>
  </si>
  <si>
    <t xml:space="preserve">프로젝트의 현황을 파악할 수 있는 진행율, Workload 등의 분석 리포트와 분석용 Workload data를 제공한다.</t>
  </si>
  <si>
    <t xml:space="preserve">일정계획 변경관리</t>
  </si>
  <si>
    <t xml:space="preserve">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</si>
  <si>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 xml:space="preserve">산출물 관리</t>
  </si>
  <si>
    <t xml:space="preserve">엑셀간트에서는 산출물의 저장 경로(폴더 위치)를 지정하고 Schedule시트에서 바로 산출물을 열 수 있는 기능을 제공한다. 리본 메뉴에서 “옵션” 버튼을 클릭하면  “산출물”과 관련된 설정을 할 수 있다.</t>
  </si>
  <si>
    <t xml:space="preserve">Microsoft Outlook작업, 일정등록</t>
  </si>
  <si>
    <t xml:space="preserve">엑셀간트에서는 Schedule시트에 입력되어 있는 작업을 Microsoft Outlook에 작업이나 일정으로 등록할 수 있는 기능을 제공한다(단, PC에 Microsoft Outlook이 설치되어 있어야 한다).</t>
  </si>
  <si>
    <t xml:space="preserve">다국어 지원</t>
  </si>
  <si>
    <t xml:space="preserve">엑셀간트는 다국어를 지원하는데 프로그램을 수정하지 않고 여러 다국어를 추가할 수 있다. 현재는 한국어, 영어 2개 국어가 추가되어 있다.</t>
  </si>
  <si>
    <t xml:space="preserve">다른 파일에서 일정 가져오기</t>
  </si>
  <si>
    <t xml:space="preserve">엑셀간트에서는 엑셀간트(XLGantt) 또는 일반 엑셀파일로 만들어진 일정을 가져오는 기능을 제공한다.</t>
  </si>
  <si>
    <t xml:space="preserve">Calendar관리</t>
  </si>
  <si>
    <t xml:space="preserve">한주의 시작요일 지정, 휴무일 설정, 주차표시 기능을 제공한다.
리본메뉴 &gt; XLGantt – Project Scheduler &gt; 옵션 &gt; “Calendar” 탭에서 설정할 수 있다.</t>
  </si>
  <si>
    <t xml:space="preserve">Excel기능과 통합</t>
  </si>
  <si>
    <t xml:space="preserve">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</si>
  <si>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 xml:space="preserve">Server Data 가져오기</t>
  </si>
  <si>
    <t xml:space="preserve">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</si>
  <si>
    <t xml:space="preserve">XLGantt Version 3.0.0 사용조건</t>
  </si>
  <si>
    <t xml:space="preserve">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</si>
  <si>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 xml:space="preserve">  XLGantt 3.0.0 ©XLWorks</t>
  </si>
  <si>
    <r>
      <rPr>
        <b val="true"/>
        <sz val="9"/>
        <color rgb="FFFF8800"/>
        <rFont val="맑은 고딕"/>
        <family val="2"/>
        <charset val="129"/>
      </rPr>
      <t xml:space="preserve">  주별보기</t>
    </r>
    <r>
      <rPr>
        <b val="true"/>
        <sz val="9"/>
        <color rgb="FFFF8800"/>
        <rFont val="Calibri"/>
        <family val="2"/>
        <charset val="1"/>
      </rPr>
      <t xml:space="preserve">, Zoom 100%, </t>
    </r>
    <r>
      <rPr>
        <b val="true"/>
        <sz val="9"/>
        <color rgb="FFFF8800"/>
        <rFont val="맑은 고딕"/>
        <family val="2"/>
        <charset val="129"/>
      </rPr>
      <t xml:space="preserve">계산 옵션 </t>
    </r>
    <r>
      <rPr>
        <b val="true"/>
        <sz val="9"/>
        <color rgb="FFFF8800"/>
        <rFont val="Calibri"/>
        <family val="2"/>
        <charset val="1"/>
      </rPr>
      <t xml:space="preserve">: </t>
    </r>
    <r>
      <rPr>
        <b val="true"/>
        <sz val="9"/>
        <color rgb="FFFF8800"/>
        <rFont val="맑은 고딕"/>
        <family val="2"/>
        <charset val="129"/>
      </rPr>
      <t xml:space="preserve">자동</t>
    </r>
  </si>
  <si>
    <t xml:space="preserve">reserved</t>
  </si>
  <si>
    <t xml:space="preserve">task_group</t>
  </si>
  <si>
    <t xml:space="preserve">wbs_level</t>
  </si>
  <si>
    <t xml:space="preserve">WBS</t>
  </si>
  <si>
    <r>
      <rPr>
        <sz val="9"/>
        <color rgb="FFFFFFFF"/>
        <rFont val="돋움"/>
        <family val="3"/>
        <charset val="129"/>
      </rPr>
      <t xml:space="preserve">작업</t>
    </r>
    <r>
      <rPr>
        <sz val="9"/>
        <color rgb="FFFFFFFF"/>
        <rFont val="Calibri"/>
        <family val="2"/>
        <charset val="1"/>
      </rPr>
      <t xml:space="preserve">*</t>
    </r>
  </si>
  <si>
    <t xml:space="preserve">비고</t>
  </si>
  <si>
    <r>
      <rPr>
        <sz val="9"/>
        <color rgb="FFFFFFFF"/>
        <rFont val="돋움"/>
        <family val="3"/>
        <charset val="129"/>
      </rPr>
      <t xml:space="preserve">시작일</t>
    </r>
    <r>
      <rPr>
        <sz val="9"/>
        <color rgb="FFFFFFFF"/>
        <rFont val="Calibri"/>
        <family val="2"/>
        <charset val="1"/>
      </rPr>
      <t xml:space="preserve">*</t>
    </r>
  </si>
  <si>
    <r>
      <rPr>
        <sz val="9"/>
        <color rgb="FFFFFFFF"/>
        <rFont val="돋움"/>
        <family val="3"/>
        <charset val="129"/>
      </rPr>
      <t xml:space="preserve">완료일</t>
    </r>
    <r>
      <rPr>
        <sz val="9"/>
        <color rgb="FFFFFFFF"/>
        <rFont val="Calibri"/>
        <family val="2"/>
        <charset val="1"/>
      </rPr>
      <t xml:space="preserve">*</t>
    </r>
  </si>
  <si>
    <r>
      <rPr>
        <sz val="9"/>
        <color rgb="FFFFFFFF"/>
        <rFont val="돋움"/>
        <family val="3"/>
        <charset val="129"/>
      </rPr>
      <t xml:space="preserve">총</t>
    </r>
    <r>
      <rPr>
        <sz val="9"/>
        <color rgb="FFFFFFFF"/>
        <rFont val="Calibri"/>
        <family val="2"/>
        <charset val="1"/>
      </rPr>
      <t xml:space="preserve">_x005F_x000D_
</t>
    </r>
    <r>
      <rPr>
        <sz val="9"/>
        <color rgb="FFFFFFFF"/>
        <rFont val="돋움"/>
        <family val="3"/>
        <charset val="129"/>
      </rPr>
      <t xml:space="preserve">작업량</t>
    </r>
  </si>
  <si>
    <r>
      <rPr>
        <sz val="9"/>
        <color rgb="FFFFFFFF"/>
        <rFont val="돋움"/>
        <family val="3"/>
        <charset val="129"/>
      </rPr>
      <t xml:space="preserve">계획</t>
    </r>
    <r>
      <rPr>
        <sz val="9"/>
        <color rgb="FFFFFFFF"/>
        <rFont val="Calibri"/>
        <family val="2"/>
        <charset val="1"/>
      </rPr>
      <t xml:space="preserve">_x005F_x000D_
</t>
    </r>
    <r>
      <rPr>
        <sz val="9"/>
        <color rgb="FFFFFFFF"/>
        <rFont val="돋움"/>
        <family val="3"/>
        <charset val="129"/>
      </rPr>
      <t xml:space="preserve">작업량</t>
    </r>
  </si>
  <si>
    <r>
      <rPr>
        <sz val="9"/>
        <color rgb="FFFFFFFF"/>
        <rFont val="돋움"/>
        <family val="3"/>
        <charset val="129"/>
      </rPr>
      <t xml:space="preserve">총</t>
    </r>
    <r>
      <rPr>
        <sz val="9"/>
        <color rgb="FFFFFFFF"/>
        <rFont val="Calibri"/>
        <family val="2"/>
        <charset val="1"/>
      </rPr>
      <t xml:space="preserve">_x005F_x000D_
</t>
    </r>
    <r>
      <rPr>
        <sz val="9"/>
        <color rgb="FFFFFFFF"/>
        <rFont val="돋움"/>
        <family val="3"/>
        <charset val="129"/>
      </rPr>
      <t xml:space="preserve">기간</t>
    </r>
  </si>
  <si>
    <r>
      <rPr>
        <sz val="9"/>
        <color rgb="FFFFFFFF"/>
        <rFont val="돋움"/>
        <family val="3"/>
        <charset val="129"/>
      </rPr>
      <t xml:space="preserve">계획</t>
    </r>
    <r>
      <rPr>
        <sz val="9"/>
        <color rgb="FFFFFFFF"/>
        <rFont val="Calibri"/>
        <family val="2"/>
        <charset val="1"/>
      </rPr>
      <t xml:space="preserve">_x005F_x000D_
</t>
    </r>
    <r>
      <rPr>
        <sz val="9"/>
        <color rgb="FFFFFFFF"/>
        <rFont val="돋움"/>
        <family val="3"/>
        <charset val="129"/>
      </rPr>
      <t xml:space="preserve">기간</t>
    </r>
  </si>
  <si>
    <r>
      <rPr>
        <sz val="9"/>
        <color rgb="FFFFFFFF"/>
        <rFont val="돋움"/>
        <family val="3"/>
        <charset val="129"/>
      </rPr>
      <t xml:space="preserve">실제</t>
    </r>
    <r>
      <rPr>
        <sz val="9"/>
        <color rgb="FFFFFFFF"/>
        <rFont val="Calibri"/>
        <family val="2"/>
        <charset val="1"/>
      </rPr>
      <t xml:space="preserve">_x005F_x000D_
</t>
    </r>
    <r>
      <rPr>
        <sz val="9"/>
        <color rgb="FFFFFFFF"/>
        <rFont val="돋움"/>
        <family val="3"/>
        <charset val="129"/>
      </rPr>
      <t xml:space="preserve">시작일</t>
    </r>
  </si>
  <si>
    <r>
      <rPr>
        <sz val="9"/>
        <color rgb="FFFFFFFF"/>
        <rFont val="돋움"/>
        <family val="3"/>
        <charset val="129"/>
      </rPr>
      <t xml:space="preserve">실제</t>
    </r>
    <r>
      <rPr>
        <sz val="9"/>
        <color rgb="FFFFFFFF"/>
        <rFont val="Calibri"/>
        <family val="2"/>
        <charset val="1"/>
      </rPr>
      <t xml:space="preserve">_x005F_x000D_
</t>
    </r>
    <r>
      <rPr>
        <sz val="9"/>
        <color rgb="FFFFFFFF"/>
        <rFont val="돋움"/>
        <family val="3"/>
        <charset val="129"/>
      </rPr>
      <t xml:space="preserve">완료일</t>
    </r>
  </si>
  <si>
    <r>
      <rPr>
        <sz val="9"/>
        <color rgb="FFFFFFFF"/>
        <rFont val="돋움"/>
        <family val="3"/>
        <charset val="129"/>
      </rPr>
      <t xml:space="preserve">실제</t>
    </r>
    <r>
      <rPr>
        <sz val="9"/>
        <color rgb="FFFFFFFF"/>
        <rFont val="Calibri"/>
        <family val="2"/>
        <charset val="1"/>
      </rPr>
      <t xml:space="preserve">_x005F_x000D_
</t>
    </r>
    <r>
      <rPr>
        <sz val="9"/>
        <color rgb="FFFFFFFF"/>
        <rFont val="돋움"/>
        <family val="3"/>
        <charset val="129"/>
      </rPr>
      <t xml:space="preserve">총작업량</t>
    </r>
  </si>
  <si>
    <r>
      <rPr>
        <sz val="9"/>
        <color rgb="FFFFFFFF"/>
        <rFont val="돋움"/>
        <family val="3"/>
        <charset val="129"/>
      </rPr>
      <t xml:space="preserve">실제</t>
    </r>
    <r>
      <rPr>
        <sz val="9"/>
        <color rgb="FFFFFFFF"/>
        <rFont val="Calibri"/>
        <family val="2"/>
        <charset val="1"/>
      </rPr>
      <t xml:space="preserve">_x005F_x000D_
</t>
    </r>
    <r>
      <rPr>
        <sz val="9"/>
        <color rgb="FFFFFFFF"/>
        <rFont val="돋움"/>
        <family val="3"/>
        <charset val="129"/>
      </rPr>
      <t xml:space="preserve">총기간</t>
    </r>
  </si>
  <si>
    <t xml:space="preserve">가중치</t>
  </si>
  <si>
    <t xml:space="preserve">담당</t>
  </si>
  <si>
    <t xml:space="preserve">산출물</t>
  </si>
  <si>
    <t xml:space="preserve">계획</t>
  </si>
  <si>
    <r>
      <rPr>
        <sz val="9"/>
        <color rgb="FFFFFFFF"/>
        <rFont val="맑은 고딕"/>
        <family val="2"/>
        <charset val="1"/>
      </rPr>
      <t xml:space="preserve">실적</t>
    </r>
    <r>
      <rPr>
        <sz val="9"/>
        <color rgb="FFFFFFFF"/>
        <rFont val="Calibri"/>
        <family val="2"/>
        <charset val="1"/>
      </rPr>
      <t xml:space="preserve">*</t>
    </r>
  </si>
  <si>
    <t xml:space="preserve">08/18
W34</t>
  </si>
  <si>
    <t xml:space="preserve">09/15
W38</t>
  </si>
  <si>
    <t xml:space="preserve">10/13
W42</t>
  </si>
  <si>
    <t xml:space="preserve">11/10
W46</t>
  </si>
  <si>
    <t xml:space="preserve">12/08
W50</t>
  </si>
  <si>
    <t xml:space="preserve">01/05
W2</t>
  </si>
  <si>
    <t xml:space="preserve">G</t>
  </si>
  <si>
    <t xml:space="preserve">1</t>
  </si>
  <si>
    <t xml:space="preserve">프로젝트 관리</t>
  </si>
  <si>
    <t xml:space="preserve">김도준</t>
  </si>
  <si>
    <t xml:space="preserve">1.1</t>
  </si>
  <si>
    <t xml:space="preserve">프로젝트 착수 및 계획수립</t>
  </si>
  <si>
    <t xml:space="preserve">1.1.1</t>
  </si>
  <si>
    <t xml:space="preserve">프로젝트 착수</t>
  </si>
  <si>
    <t xml:space="preserve">1.1.2</t>
  </si>
  <si>
    <t xml:space="preserve">프로젝트 범위정의</t>
  </si>
  <si>
    <t xml:space="preserve">1.1.2.1</t>
  </si>
  <si>
    <t xml:space="preserve">프로젝트 계획 수립</t>
  </si>
  <si>
    <t xml:space="preserve">1.1.2.2</t>
  </si>
  <si>
    <r>
      <rPr>
        <sz val="9"/>
        <rFont val="돋움"/>
        <family val="3"/>
        <charset val="129"/>
      </rPr>
      <t xml:space="preserve">착수보고</t>
    </r>
    <r>
      <rPr>
        <sz val="9"/>
        <rFont val="Calibri"/>
        <family val="2"/>
        <charset val="1"/>
      </rPr>
      <t xml:space="preserve">(Kick off)</t>
    </r>
  </si>
  <si>
    <t xml:space="preserve">1.2</t>
  </si>
  <si>
    <t xml:space="preserve">프로젝트 수행 및 통제</t>
  </si>
  <si>
    <t xml:space="preserve">1.2.1</t>
  </si>
  <si>
    <r>
      <rPr>
        <sz val="9"/>
        <rFont val="돋움"/>
        <family val="3"/>
        <charset val="129"/>
      </rPr>
      <t xml:space="preserve">월간보고</t>
    </r>
    <r>
      <rPr>
        <sz val="9"/>
        <rFont val="Calibri"/>
        <family val="2"/>
        <charset val="1"/>
      </rPr>
      <t xml:space="preserve">1</t>
    </r>
  </si>
  <si>
    <t xml:space="preserve">1.2.2</t>
  </si>
  <si>
    <r>
      <rPr>
        <sz val="9"/>
        <rFont val="돋움"/>
        <family val="3"/>
        <charset val="129"/>
      </rPr>
      <t xml:space="preserve">월간보고</t>
    </r>
    <r>
      <rPr>
        <sz val="9"/>
        <rFont val="Calibri"/>
        <family val="2"/>
        <charset val="1"/>
      </rPr>
      <t xml:space="preserve">2</t>
    </r>
  </si>
  <si>
    <t xml:space="preserve">1.2.3</t>
  </si>
  <si>
    <r>
      <rPr>
        <sz val="9"/>
        <rFont val="돋움"/>
        <family val="3"/>
        <charset val="129"/>
      </rPr>
      <t xml:space="preserve">월간보고</t>
    </r>
    <r>
      <rPr>
        <sz val="9"/>
        <rFont val="Calibri"/>
        <family val="2"/>
        <charset val="1"/>
      </rPr>
      <t xml:space="preserve">3</t>
    </r>
  </si>
  <si>
    <t xml:space="preserve">1.2.4</t>
  </si>
  <si>
    <t xml:space="preserve">중간보고</t>
  </si>
  <si>
    <t xml:space="preserve">1.3</t>
  </si>
  <si>
    <t xml:space="preserve">프로젝트 종료</t>
  </si>
  <si>
    <t xml:space="preserve">1.3.1</t>
  </si>
  <si>
    <t xml:space="preserve">종료계획수립</t>
  </si>
  <si>
    <t xml:space="preserve">전용석</t>
  </si>
  <si>
    <t xml:space="preserve">1.3.2</t>
  </si>
  <si>
    <t xml:space="preserve">시스템 인수인계</t>
  </si>
  <si>
    <t xml:space="preserve">이형철</t>
  </si>
  <si>
    <t xml:space="preserve">1.3.3</t>
  </si>
  <si>
    <t xml:space="preserve">종료보고</t>
  </si>
  <si>
    <t xml:space="preserve">김민수</t>
  </si>
  <si>
    <t xml:space="preserve">1.3.4</t>
  </si>
  <si>
    <t xml:space="preserve">검수 및 종료</t>
  </si>
  <si>
    <t xml:space="preserve">김주연</t>
  </si>
  <si>
    <t xml:space="preserve">2</t>
  </si>
  <si>
    <t xml:space="preserve">시스템 개발</t>
  </si>
  <si>
    <t xml:space="preserve">2.1</t>
  </si>
  <si>
    <t xml:space="preserve">분석</t>
  </si>
  <si>
    <t xml:space="preserve">2.1.1</t>
  </si>
  <si>
    <t xml:space="preserve">요구사항정의</t>
  </si>
  <si>
    <t xml:space="preserve">2.1.2</t>
  </si>
  <si>
    <t xml:space="preserve">논리모델구축</t>
  </si>
  <si>
    <t xml:space="preserve">2.1.2.1</t>
  </si>
  <si>
    <t xml:space="preserve">프로세스모델링</t>
  </si>
  <si>
    <t xml:space="preserve">2.1.2.2</t>
  </si>
  <si>
    <t xml:space="preserve">데이터모델링</t>
  </si>
  <si>
    <t xml:space="preserve">김민수,김도준</t>
  </si>
  <si>
    <t xml:space="preserve">2.2</t>
  </si>
  <si>
    <t xml:space="preserve">설계</t>
  </si>
  <si>
    <t xml:space="preserve">2.2.1</t>
  </si>
  <si>
    <r>
      <rPr>
        <sz val="9"/>
        <rFont val="Calibri"/>
        <family val="2"/>
        <charset val="1"/>
      </rPr>
      <t xml:space="preserve">UI </t>
    </r>
    <r>
      <rPr>
        <sz val="9"/>
        <rFont val="돋움"/>
        <family val="3"/>
        <charset val="129"/>
      </rPr>
      <t xml:space="preserve">설계</t>
    </r>
  </si>
  <si>
    <t xml:space="preserve">김주연,이형철</t>
  </si>
  <si>
    <t xml:space="preserve">2.2.2</t>
  </si>
  <si>
    <t xml:space="preserve">시스템 설계</t>
  </si>
  <si>
    <t xml:space="preserve">2.2.2.1</t>
  </si>
  <si>
    <r>
      <rPr>
        <sz val="9"/>
        <rFont val="Calibri"/>
        <family val="2"/>
        <charset val="1"/>
      </rPr>
      <t xml:space="preserve">Architecture</t>
    </r>
    <r>
      <rPr>
        <sz val="9"/>
        <rFont val="돋움"/>
        <family val="3"/>
        <charset val="129"/>
      </rPr>
      <t xml:space="preserve">설계</t>
    </r>
  </si>
  <si>
    <t xml:space="preserve">2.2.2.2</t>
  </si>
  <si>
    <t xml:space="preserve">데이터베이스설계</t>
  </si>
  <si>
    <t xml:space="preserve">2.2.2.3</t>
  </si>
  <si>
    <t xml:space="preserve">프로그램설계</t>
  </si>
  <si>
    <t xml:space="preserve">2.2.3</t>
  </si>
  <si>
    <t xml:space="preserve">테스트 설계</t>
  </si>
  <si>
    <t xml:space="preserve">2.3</t>
  </si>
  <si>
    <t xml:space="preserve">개발</t>
  </si>
  <si>
    <t xml:space="preserve">2.3.1</t>
  </si>
  <si>
    <t xml:space="preserve">프로그램 개발</t>
  </si>
  <si>
    <t xml:space="preserve">2.3.1.1</t>
  </si>
  <si>
    <t xml:space="preserve">단위테스트시나리오작성</t>
  </si>
  <si>
    <t xml:space="preserve">서영훈,김주연</t>
  </si>
  <si>
    <t xml:space="preserve">2.3.1.2</t>
  </si>
  <si>
    <t xml:space="preserve">프로그램코딩 및 단위테스트</t>
  </si>
  <si>
    <t xml:space="preserve">2.3.1.2.1</t>
  </si>
  <si>
    <r>
      <rPr>
        <sz val="9"/>
        <rFont val="돋움"/>
        <family val="3"/>
        <charset val="129"/>
      </rPr>
      <t xml:space="preserve">모듈</t>
    </r>
    <r>
      <rPr>
        <sz val="9"/>
        <rFont val="Calibri"/>
        <family val="2"/>
        <charset val="1"/>
      </rPr>
      <t xml:space="preserve">A</t>
    </r>
  </si>
  <si>
    <t xml:space="preserve">2.3.1.2.1.1</t>
  </si>
  <si>
    <r>
      <rPr>
        <sz val="9"/>
        <rFont val="돋움"/>
        <family val="3"/>
        <charset val="129"/>
      </rPr>
      <t xml:space="preserve">프로그램</t>
    </r>
    <r>
      <rPr>
        <sz val="9"/>
        <rFont val="Calibri"/>
        <family val="2"/>
        <charset val="1"/>
      </rPr>
      <t xml:space="preserve">A</t>
    </r>
  </si>
  <si>
    <t xml:space="preserve">2.3.1.2.1.2</t>
  </si>
  <si>
    <r>
      <rPr>
        <sz val="9"/>
        <rFont val="돋움"/>
        <family val="3"/>
        <charset val="129"/>
      </rPr>
      <t xml:space="preserve">프로그램</t>
    </r>
    <r>
      <rPr>
        <sz val="9"/>
        <rFont val="Calibri"/>
        <family val="2"/>
        <charset val="1"/>
      </rPr>
      <t xml:space="preserve">B</t>
    </r>
  </si>
  <si>
    <t xml:space="preserve">이형철,서영훈</t>
  </si>
  <si>
    <t xml:space="preserve">2.3.1.2.1.3</t>
  </si>
  <si>
    <r>
      <rPr>
        <sz val="9"/>
        <rFont val="돋움"/>
        <family val="3"/>
        <charset val="129"/>
      </rPr>
      <t xml:space="preserve">프로그램</t>
    </r>
    <r>
      <rPr>
        <sz val="9"/>
        <rFont val="Calibri"/>
        <family val="2"/>
        <charset val="1"/>
      </rPr>
      <t xml:space="preserve">C</t>
    </r>
  </si>
  <si>
    <t xml:space="preserve">2.3.1.2.2</t>
  </si>
  <si>
    <r>
      <rPr>
        <sz val="9"/>
        <rFont val="돋움"/>
        <family val="3"/>
        <charset val="129"/>
      </rPr>
      <t xml:space="preserve">모듈</t>
    </r>
    <r>
      <rPr>
        <sz val="9"/>
        <rFont val="Calibri"/>
        <family val="2"/>
        <charset val="1"/>
      </rPr>
      <t xml:space="preserve">B</t>
    </r>
  </si>
  <si>
    <t xml:space="preserve">2.3.1.2.3</t>
  </si>
  <si>
    <r>
      <rPr>
        <sz val="9"/>
        <rFont val="돋움"/>
        <family val="3"/>
        <charset val="129"/>
      </rPr>
      <t xml:space="preserve">모듈</t>
    </r>
    <r>
      <rPr>
        <sz val="9"/>
        <rFont val="Calibri"/>
        <family val="2"/>
        <charset val="1"/>
      </rPr>
      <t xml:space="preserve">C</t>
    </r>
  </si>
  <si>
    <t xml:space="preserve">2.3.1.2.4</t>
  </si>
  <si>
    <r>
      <rPr>
        <sz val="9"/>
        <rFont val="돋움"/>
        <family val="3"/>
        <charset val="129"/>
      </rPr>
      <t xml:space="preserve">모듈</t>
    </r>
    <r>
      <rPr>
        <sz val="9"/>
        <rFont val="Calibri"/>
        <family val="2"/>
        <charset val="1"/>
      </rPr>
      <t xml:space="preserve">D</t>
    </r>
  </si>
  <si>
    <t xml:space="preserve">2.3.2</t>
  </si>
  <si>
    <t xml:space="preserve">테스트실시</t>
  </si>
  <si>
    <t xml:space="preserve">2.3.2.1</t>
  </si>
  <si>
    <t xml:space="preserve">통합테스트실시</t>
  </si>
  <si>
    <t xml:space="preserve">2.3.2.2</t>
  </si>
  <si>
    <t xml:space="preserve">시스템테스트실시</t>
  </si>
  <si>
    <t xml:space="preserve">2.4</t>
  </si>
  <si>
    <t xml:space="preserve">구현</t>
  </si>
  <si>
    <t xml:space="preserve">2.4.1</t>
  </si>
  <si>
    <t xml:space="preserve">구현준비</t>
  </si>
  <si>
    <t xml:space="preserve">2.4.1.1</t>
  </si>
  <si>
    <r>
      <rPr>
        <sz val="9"/>
        <rFont val="Calibri"/>
        <family val="2"/>
        <charset val="1"/>
      </rPr>
      <t xml:space="preserve">Release </t>
    </r>
    <r>
      <rPr>
        <sz val="9"/>
        <rFont val="돋움"/>
        <family val="3"/>
        <charset val="129"/>
      </rPr>
      <t xml:space="preserve">및 </t>
    </r>
    <r>
      <rPr>
        <sz val="9"/>
        <rFont val="Calibri"/>
        <family val="2"/>
        <charset val="1"/>
      </rPr>
      <t xml:space="preserve">Contingency plan</t>
    </r>
    <r>
      <rPr>
        <sz val="9"/>
        <rFont val="돋움"/>
        <family val="3"/>
        <charset val="129"/>
      </rPr>
      <t xml:space="preserve">수립</t>
    </r>
  </si>
  <si>
    <t xml:space="preserve">2.4.2</t>
  </si>
  <si>
    <r>
      <rPr>
        <sz val="9"/>
        <rFont val="Calibri"/>
        <family val="2"/>
        <charset val="1"/>
      </rPr>
      <t xml:space="preserve">Conversion </t>
    </r>
    <r>
      <rPr>
        <sz val="9"/>
        <rFont val="돋움"/>
        <family val="3"/>
        <charset val="129"/>
      </rPr>
      <t xml:space="preserve">및 </t>
    </r>
    <r>
      <rPr>
        <sz val="9"/>
        <rFont val="Calibri"/>
        <family val="2"/>
        <charset val="1"/>
      </rPr>
      <t xml:space="preserve">Release</t>
    </r>
  </si>
  <si>
    <t xml:space="preserve">2.4.2.1</t>
  </si>
  <si>
    <t xml:space="preserve">데이터베이스구축</t>
  </si>
  <si>
    <t xml:space="preserve">2.4.2.2</t>
  </si>
  <si>
    <t xml:space="preserve">소프트웨어설치</t>
  </si>
  <si>
    <t xml:space="preserve">2.4.2.3</t>
  </si>
  <si>
    <t xml:space="preserve">인수테스트실시</t>
  </si>
  <si>
    <t xml:space="preserve">2.4.2.4</t>
  </si>
  <si>
    <t xml:space="preserve">시스템오픈</t>
  </si>
  <si>
    <r>
      <rPr>
        <b val="true"/>
        <sz val="16"/>
        <color rgb="FF0070C0"/>
        <rFont val="맑은 고딕"/>
        <family val="2"/>
        <charset val="129"/>
      </rPr>
      <t xml:space="preserve">프로젝트 진척율 </t>
    </r>
    <r>
      <rPr>
        <b val="true"/>
        <sz val="16"/>
        <color rgb="FF0070C0"/>
        <rFont val="Calibri"/>
        <family val="2"/>
        <charset val="1"/>
      </rPr>
      <t xml:space="preserve">- </t>
    </r>
    <r>
      <rPr>
        <b val="true"/>
        <sz val="16"/>
        <color rgb="FF0070C0"/>
        <rFont val="맑은 고딕"/>
        <family val="2"/>
        <charset val="129"/>
      </rPr>
      <t xml:space="preserve">일정변경 관리하지 않을때</t>
    </r>
  </si>
  <si>
    <r>
      <rPr>
        <sz val="10"/>
        <rFont val="Calibri"/>
        <family val="2"/>
        <charset val="1"/>
      </rPr>
      <t xml:space="preserve">* </t>
    </r>
    <r>
      <rPr>
        <sz val="10"/>
        <rFont val="돋움"/>
        <family val="3"/>
        <charset val="129"/>
      </rPr>
      <t xml:space="preserve">프로젝트 작업량과 진척율을 보여줍니다</t>
    </r>
    <r>
      <rPr>
        <sz val="10"/>
        <rFont val="Calibri"/>
        <family val="2"/>
        <charset val="1"/>
      </rPr>
      <t xml:space="preserve">.</t>
    </r>
  </si>
  <si>
    <r>
      <rPr>
        <sz val="10"/>
        <rFont val="Calibri"/>
        <family val="2"/>
        <charset val="1"/>
      </rPr>
      <t xml:space="preserve">* "</t>
    </r>
    <r>
      <rPr>
        <sz val="10"/>
        <rFont val="돋움"/>
        <family val="3"/>
        <charset val="129"/>
      </rPr>
      <t xml:space="preserve">스케줄업데이트</t>
    </r>
    <r>
      <rPr>
        <sz val="10"/>
        <rFont val="Calibri"/>
        <family val="2"/>
        <charset val="1"/>
      </rPr>
      <t xml:space="preserve">" </t>
    </r>
    <r>
      <rPr>
        <sz val="10"/>
        <rFont val="돋움"/>
        <family val="3"/>
        <charset val="129"/>
      </rPr>
      <t xml:space="preserve">버튼 클릭 시 아래 항목이 자동계산됩니다</t>
    </r>
    <r>
      <rPr>
        <sz val="10"/>
        <rFont val="Calibri"/>
        <family val="2"/>
        <charset val="1"/>
      </rPr>
      <t xml:space="preserve">.</t>
    </r>
  </si>
  <si>
    <t xml:space="preserve">프로젝트 전체 작업량</t>
  </si>
  <si>
    <t xml:space="preserve">Man/Day</t>
  </si>
  <si>
    <r>
      <rPr>
        <sz val="10"/>
        <rFont val="돋움"/>
        <family val="3"/>
        <charset val="129"/>
      </rPr>
      <t xml:space="preserve">프로젝트 전체의 작업량을 </t>
    </r>
    <r>
      <rPr>
        <sz val="10"/>
        <rFont val="Calibri"/>
        <family val="2"/>
        <charset val="1"/>
      </rPr>
      <t xml:space="preserve">Man/Day</t>
    </r>
    <r>
      <rPr>
        <sz val="10"/>
        <rFont val="돋움"/>
        <family val="3"/>
        <charset val="129"/>
      </rPr>
      <t xml:space="preserve">로 표시한다</t>
    </r>
    <r>
      <rPr>
        <sz val="10"/>
        <rFont val="Calibri"/>
        <family val="2"/>
        <charset val="1"/>
      </rPr>
      <t xml:space="preserve">. </t>
    </r>
    <r>
      <rPr>
        <sz val="10"/>
        <rFont val="돋움"/>
        <family val="3"/>
        <charset val="129"/>
      </rPr>
      <t xml:space="preserve">가중치를 적용한 값이다</t>
    </r>
    <r>
      <rPr>
        <sz val="10"/>
        <rFont val="Calibri"/>
        <family val="2"/>
        <charset val="1"/>
      </rPr>
      <t xml:space="preserve">.</t>
    </r>
  </si>
  <si>
    <t xml:space="preserve">현재일까지 계획된 작업량</t>
  </si>
  <si>
    <r>
      <rPr>
        <sz val="10"/>
        <rFont val="돋움"/>
        <family val="3"/>
        <charset val="129"/>
      </rPr>
      <t xml:space="preserve">해당작업의 시작일부터 현재일까지의 작업기간을 의미함</t>
    </r>
    <r>
      <rPr>
        <sz val="10"/>
        <rFont val="Calibri"/>
        <family val="2"/>
        <charset val="1"/>
      </rPr>
      <t xml:space="preserve">(</t>
    </r>
    <r>
      <rPr>
        <sz val="10"/>
        <rFont val="돋움"/>
        <family val="3"/>
        <charset val="129"/>
      </rPr>
      <t xml:space="preserve">현재 날짜까지 진행되었어야 할 기간</t>
    </r>
    <r>
      <rPr>
        <sz val="10"/>
        <rFont val="Calibri"/>
        <family val="2"/>
        <charset val="1"/>
      </rPr>
      <t xml:space="preserve">)</t>
    </r>
  </si>
  <si>
    <t xml:space="preserve">실적기성</t>
  </si>
  <si>
    <r>
      <rPr>
        <sz val="10"/>
        <rFont val="돋움"/>
        <family val="3"/>
        <charset val="129"/>
      </rPr>
      <t xml:space="preserve">실적기성</t>
    </r>
    <r>
      <rPr>
        <sz val="10"/>
        <rFont val="Calibri"/>
        <family val="3"/>
        <charset val="129"/>
      </rPr>
      <t xml:space="preserve">(</t>
    </r>
    <r>
      <rPr>
        <sz val="10"/>
        <rFont val="돋움"/>
        <family val="3"/>
        <charset val="129"/>
      </rPr>
      <t xml:space="preserve">총기간 </t>
    </r>
    <r>
      <rPr>
        <sz val="10"/>
        <rFont val="Calibri"/>
        <family val="3"/>
        <charset val="129"/>
      </rPr>
      <t xml:space="preserve">x </t>
    </r>
    <r>
      <rPr>
        <sz val="10"/>
        <rFont val="돋움"/>
        <family val="3"/>
        <charset val="129"/>
      </rPr>
      <t xml:space="preserve">총실적진행율</t>
    </r>
    <r>
      <rPr>
        <sz val="10"/>
        <rFont val="Calibri"/>
        <family val="3"/>
        <charset val="129"/>
      </rPr>
      <t xml:space="preserve">)</t>
    </r>
  </si>
  <si>
    <t xml:space="preserve">실제 투입된 작업량</t>
  </si>
  <si>
    <t xml:space="preserve">일정변경 관리할 때 현재까지 실제로 투입된 작업기간을 표시함</t>
  </si>
  <si>
    <r>
      <rPr>
        <b val="true"/>
        <sz val="10"/>
        <rFont val="돋움"/>
        <family val="3"/>
        <charset val="129"/>
      </rPr>
      <t xml:space="preserve">계획 진척율</t>
    </r>
    <r>
      <rPr>
        <b val="true"/>
        <sz val="10"/>
        <rFont val="Calibri"/>
        <family val="2"/>
        <charset val="1"/>
      </rPr>
      <t xml:space="preserve">(A)</t>
    </r>
  </si>
  <si>
    <r>
      <rPr>
        <sz val="10"/>
        <rFont val="돋움"/>
        <family val="3"/>
        <charset val="129"/>
      </rPr>
      <t xml:space="preserve">현재날짜까지 계획된 진척율</t>
    </r>
    <r>
      <rPr>
        <sz val="10"/>
        <rFont val="Calibri"/>
        <family val="2"/>
        <charset val="1"/>
      </rPr>
      <t xml:space="preserve">, WBS</t>
    </r>
    <r>
      <rPr>
        <sz val="10"/>
        <rFont val="돋움"/>
        <family val="3"/>
        <charset val="129"/>
      </rPr>
      <t xml:space="preserve">의 </t>
    </r>
    <r>
      <rPr>
        <sz val="10"/>
        <rFont val="Calibri"/>
        <family val="2"/>
        <charset val="1"/>
      </rPr>
      <t xml:space="preserve">"</t>
    </r>
    <r>
      <rPr>
        <sz val="10"/>
        <rFont val="돋움"/>
        <family val="3"/>
        <charset val="129"/>
      </rPr>
      <t xml:space="preserve">계획진척율</t>
    </r>
    <r>
      <rPr>
        <sz val="10"/>
        <rFont val="Calibri"/>
        <family val="2"/>
        <charset val="1"/>
      </rPr>
      <t xml:space="preserve">"</t>
    </r>
    <r>
      <rPr>
        <sz val="10"/>
        <rFont val="돋움"/>
        <family val="3"/>
        <charset val="129"/>
      </rPr>
      <t xml:space="preserve">의 전체 합계 진척율을 표시함</t>
    </r>
  </si>
  <si>
    <r>
      <rPr>
        <b val="true"/>
        <sz val="10"/>
        <rFont val="돋움"/>
        <family val="3"/>
        <charset val="129"/>
      </rPr>
      <t xml:space="preserve">실적 진척율</t>
    </r>
    <r>
      <rPr>
        <b val="true"/>
        <sz val="10"/>
        <rFont val="Calibri"/>
        <family val="2"/>
        <charset val="1"/>
      </rPr>
      <t xml:space="preserve">(B)</t>
    </r>
  </si>
  <si>
    <r>
      <rPr>
        <sz val="10"/>
        <rFont val="돋움"/>
        <family val="3"/>
        <charset val="129"/>
      </rPr>
      <t xml:space="preserve">현재날짜까지 실제로 진행된 진척율</t>
    </r>
    <r>
      <rPr>
        <sz val="10"/>
        <rFont val="Calibri"/>
        <family val="2"/>
        <charset val="1"/>
      </rPr>
      <t xml:space="preserve">, WBS</t>
    </r>
    <r>
      <rPr>
        <sz val="10"/>
        <rFont val="돋움"/>
        <family val="3"/>
        <charset val="129"/>
      </rPr>
      <t xml:space="preserve">의 </t>
    </r>
    <r>
      <rPr>
        <sz val="10"/>
        <rFont val="Calibri"/>
        <family val="2"/>
        <charset val="1"/>
      </rPr>
      <t xml:space="preserve">"</t>
    </r>
    <r>
      <rPr>
        <sz val="10"/>
        <rFont val="돋움"/>
        <family val="3"/>
        <charset val="129"/>
      </rPr>
      <t xml:space="preserve">실적진척율</t>
    </r>
    <r>
      <rPr>
        <sz val="10"/>
        <rFont val="Calibri"/>
        <family val="2"/>
        <charset val="1"/>
      </rPr>
      <t xml:space="preserve">"</t>
    </r>
    <r>
      <rPr>
        <sz val="10"/>
        <rFont val="돋움"/>
        <family val="3"/>
        <charset val="129"/>
      </rPr>
      <t xml:space="preserve">의 전체 합계 진척율을 표시함</t>
    </r>
  </si>
  <si>
    <r>
      <rPr>
        <b val="true"/>
        <sz val="10"/>
        <rFont val="돋움"/>
        <family val="3"/>
        <charset val="129"/>
      </rPr>
      <t xml:space="preserve">차이</t>
    </r>
    <r>
      <rPr>
        <b val="true"/>
        <sz val="10"/>
        <rFont val="Calibri"/>
        <family val="2"/>
        <charset val="1"/>
      </rPr>
      <t xml:space="preserve">(B-A)</t>
    </r>
  </si>
  <si>
    <r>
      <rPr>
        <sz val="10"/>
        <rFont val="돋움"/>
        <family val="3"/>
        <charset val="129"/>
      </rPr>
      <t xml:space="preserve">양수이면 계획보다 빨리 진행</t>
    </r>
    <r>
      <rPr>
        <sz val="10"/>
        <rFont val="Calibri"/>
        <family val="2"/>
        <charset val="1"/>
      </rPr>
      <t xml:space="preserve">, </t>
    </r>
    <r>
      <rPr>
        <sz val="10"/>
        <rFont val="돋움"/>
        <family val="3"/>
        <charset val="129"/>
      </rPr>
      <t xml:space="preserve">음수이면 지연</t>
    </r>
  </si>
  <si>
    <r>
      <rPr>
        <b val="true"/>
        <sz val="16"/>
        <color rgb="FF0070C0"/>
        <rFont val="돋움"/>
        <family val="3"/>
        <charset val="129"/>
      </rPr>
      <t xml:space="preserve">프로젝트 진척율</t>
    </r>
    <r>
      <rPr>
        <b val="true"/>
        <sz val="16"/>
        <color rgb="FF0070C0"/>
        <rFont val="Calibri"/>
        <family val="2"/>
        <charset val="1"/>
      </rPr>
      <t xml:space="preserve">(</t>
    </r>
    <r>
      <rPr>
        <b val="true"/>
        <sz val="16"/>
        <color rgb="FF0070C0"/>
        <rFont val="돋움"/>
        <family val="3"/>
        <charset val="129"/>
      </rPr>
      <t xml:space="preserve">주별</t>
    </r>
    <r>
      <rPr>
        <b val="true"/>
        <sz val="16"/>
        <color rgb="FF0070C0"/>
        <rFont val="Calibri"/>
        <family val="2"/>
        <charset val="1"/>
      </rPr>
      <t xml:space="preserve">)</t>
    </r>
  </si>
  <si>
    <r>
      <rPr>
        <sz val="11"/>
        <rFont val="Calibri"/>
        <family val="2"/>
        <charset val="1"/>
      </rPr>
      <t xml:space="preserve">* </t>
    </r>
    <r>
      <rPr>
        <sz val="11"/>
        <rFont val="돋움"/>
        <family val="3"/>
        <charset val="129"/>
      </rPr>
      <t xml:space="preserve">주별로 프로젝트 진적율을 보여줍니다</t>
    </r>
    <r>
      <rPr>
        <sz val="11"/>
        <rFont val="Calibri"/>
        <family val="2"/>
        <charset val="1"/>
      </rPr>
      <t xml:space="preserve">.</t>
    </r>
  </si>
  <si>
    <r>
      <rPr>
        <sz val="11"/>
        <rFont val="Calibri"/>
        <family val="2"/>
        <charset val="1"/>
      </rPr>
      <t xml:space="preserve">* "</t>
    </r>
    <r>
      <rPr>
        <sz val="11"/>
        <rFont val="돋움"/>
        <family val="3"/>
        <charset val="129"/>
      </rPr>
      <t xml:space="preserve">진척율</t>
    </r>
    <r>
      <rPr>
        <sz val="11"/>
        <rFont val="Calibri"/>
        <family val="2"/>
        <charset val="1"/>
      </rPr>
      <t xml:space="preserve">(</t>
    </r>
    <r>
      <rPr>
        <sz val="11"/>
        <rFont val="돋움"/>
        <family val="3"/>
        <charset val="129"/>
      </rPr>
      <t xml:space="preserve">주별</t>
    </r>
    <r>
      <rPr>
        <sz val="11"/>
        <rFont val="Calibri"/>
        <family val="2"/>
        <charset val="1"/>
      </rPr>
      <t xml:space="preserve">)" </t>
    </r>
    <r>
      <rPr>
        <sz val="11"/>
        <rFont val="돋움"/>
        <family val="3"/>
        <charset val="129"/>
      </rPr>
      <t xml:space="preserve">메뉴를 클릭해야 갱신됨</t>
    </r>
  </si>
  <si>
    <t xml:space="preserve">시작일</t>
  </si>
  <si>
    <t xml:space="preserve">완료일</t>
  </si>
  <si>
    <r>
      <rPr>
        <sz val="11"/>
        <rFont val="돋움"/>
        <family val="3"/>
        <charset val="129"/>
      </rPr>
      <t xml:space="preserve">계획작업량</t>
    </r>
    <r>
      <rPr>
        <sz val="11"/>
        <rFont val="Calibri"/>
        <family val="2"/>
        <charset val="1"/>
      </rPr>
      <t xml:space="preserve">(Man-Day)</t>
    </r>
  </si>
  <si>
    <r>
      <rPr>
        <sz val="11"/>
        <rFont val="돋움"/>
        <family val="3"/>
        <charset val="129"/>
      </rPr>
      <t xml:space="preserve">계획작업량 누적</t>
    </r>
    <r>
      <rPr>
        <sz val="11"/>
        <rFont val="Calibri"/>
        <family val="2"/>
        <charset val="1"/>
      </rPr>
      <t xml:space="preserve">(Man-Day)</t>
    </r>
  </si>
  <si>
    <t xml:space="preserve">계획작업량 진척율</t>
  </si>
  <si>
    <r>
      <rPr>
        <sz val="11"/>
        <rFont val="돋움"/>
        <family val="3"/>
        <charset val="129"/>
      </rPr>
      <t xml:space="preserve">실적기성</t>
    </r>
    <r>
      <rPr>
        <sz val="11"/>
        <rFont val="Calibri"/>
        <family val="2"/>
        <charset val="1"/>
      </rPr>
      <t xml:space="preserve">(Man-Day)</t>
    </r>
  </si>
  <si>
    <r>
      <rPr>
        <sz val="11"/>
        <rFont val="돋움"/>
        <family val="3"/>
        <charset val="129"/>
      </rPr>
      <t xml:space="preserve">실적기성 누적</t>
    </r>
    <r>
      <rPr>
        <sz val="11"/>
        <rFont val="Calibri"/>
        <family val="2"/>
        <charset val="1"/>
      </rPr>
      <t xml:space="preserve">(Man-Day)</t>
    </r>
  </si>
  <si>
    <t xml:space="preserve">실적기성 진척율</t>
  </si>
  <si>
    <r>
      <rPr>
        <sz val="11"/>
        <rFont val="돋움"/>
        <family val="3"/>
        <charset val="129"/>
      </rPr>
      <t xml:space="preserve">실제작업량</t>
    </r>
    <r>
      <rPr>
        <sz val="11"/>
        <rFont val="Calibri"/>
        <family val="2"/>
        <charset val="1"/>
      </rPr>
      <t xml:space="preserve">(Man-Day)</t>
    </r>
  </si>
  <si>
    <r>
      <rPr>
        <sz val="11"/>
        <rFont val="돋움"/>
        <family val="3"/>
        <charset val="129"/>
      </rPr>
      <t xml:space="preserve">실제작업량 누적</t>
    </r>
    <r>
      <rPr>
        <sz val="11"/>
        <rFont val="Calibri"/>
        <family val="2"/>
        <charset val="1"/>
      </rPr>
      <t xml:space="preserve">(Man-Day)</t>
    </r>
  </si>
  <si>
    <t xml:space="preserve">실제작업량 진척율</t>
  </si>
  <si>
    <t xml:space="preserve">Total</t>
  </si>
  <si>
    <r>
      <rPr>
        <b val="true"/>
        <sz val="16"/>
        <color rgb="FF0070C0"/>
        <rFont val="맑은 고딕"/>
        <family val="2"/>
        <charset val="129"/>
      </rPr>
      <t xml:space="preserve"> 프로젝트 휴무일 </t>
    </r>
    <r>
      <rPr>
        <b val="true"/>
        <sz val="16"/>
        <color rgb="FF0070C0"/>
        <rFont val="Calibri"/>
        <family val="2"/>
        <charset val="1"/>
      </rPr>
      <t xml:space="preserve">Calendar </t>
    </r>
    <r>
      <rPr>
        <b val="true"/>
        <sz val="16"/>
        <color rgb="FF0070C0"/>
        <rFont val="맑은 고딕"/>
        <family val="2"/>
        <charset val="129"/>
      </rPr>
      <t xml:space="preserve">설정</t>
    </r>
  </si>
  <si>
    <r>
      <rPr>
        <sz val="11"/>
        <rFont val="돋움"/>
        <family val="3"/>
        <charset val="129"/>
      </rPr>
      <t xml:space="preserve">여기에는 프로젝트의 휴무일만 입력하세요</t>
    </r>
    <r>
      <rPr>
        <sz val="11"/>
        <rFont val="Calibri"/>
        <family val="2"/>
        <charset val="1"/>
      </rPr>
      <t xml:space="preserve">.</t>
    </r>
    <r>
      <rPr>
        <sz val="11"/>
        <rFont val="돋움"/>
        <family val="3"/>
        <charset val="129"/>
      </rPr>
      <t xml:space="preserve">휴무일을 제외한 날짜는 근무일자로 설정됩니다</t>
    </r>
    <r>
      <rPr>
        <sz val="11"/>
        <rFont val="Calibri"/>
        <family val="2"/>
        <charset val="1"/>
      </rPr>
      <t xml:space="preserve">. _x005F_x000D_
</t>
    </r>
    <r>
      <rPr>
        <sz val="11"/>
        <rFont val="돋움"/>
        <family val="3"/>
        <charset val="129"/>
      </rPr>
      <t xml:space="preserve">휴무일을 입력해야 작업기간 계산시 반영합니다</t>
    </r>
    <r>
      <rPr>
        <sz val="11"/>
        <rFont val="Calibri"/>
        <family val="2"/>
        <charset val="1"/>
      </rPr>
      <t xml:space="preserve">. </t>
    </r>
    <r>
      <rPr>
        <sz val="11"/>
        <rFont val="돋움"/>
        <family val="3"/>
        <charset val="129"/>
      </rPr>
      <t xml:space="preserve">입력한 일자만큼 작업기간에서 제외합니다</t>
    </r>
    <r>
      <rPr>
        <sz val="11"/>
        <rFont val="Calibri"/>
        <family val="2"/>
        <charset val="1"/>
      </rPr>
      <t xml:space="preserve">._x005F_x000D_
(</t>
    </r>
    <r>
      <rPr>
        <sz val="11"/>
        <rFont val="돋움"/>
        <family val="3"/>
        <charset val="129"/>
      </rPr>
      <t xml:space="preserve">단</t>
    </r>
    <r>
      <rPr>
        <sz val="11"/>
        <rFont val="Calibri"/>
        <family val="2"/>
        <charset val="1"/>
      </rPr>
      <t xml:space="preserve">, </t>
    </r>
    <r>
      <rPr>
        <sz val="11"/>
        <rFont val="돋움"/>
        <family val="3"/>
        <charset val="129"/>
      </rPr>
      <t xml:space="preserve">옵션창의 캘린더 설정에 따라 휴무일계산방법은 달라질 수 있습니다</t>
    </r>
    <r>
      <rPr>
        <sz val="11"/>
        <rFont val="Calibri"/>
        <family val="2"/>
        <charset val="1"/>
      </rPr>
      <t xml:space="preserve">.)_x005F_x000D_
</t>
    </r>
    <r>
      <rPr>
        <sz val="11"/>
        <rFont val="돋움"/>
        <family val="3"/>
        <charset val="129"/>
      </rPr>
      <t xml:space="preserve">표준캘린더는 기본으로 적용되는 캘린더이며 특정 작업에 다른 캘린더를 지정하고 싶으면 </t>
    </r>
    <r>
      <rPr>
        <sz val="11"/>
        <rFont val="Calibri"/>
        <family val="2"/>
        <charset val="1"/>
      </rPr>
      <t xml:space="preserve">"</t>
    </r>
    <r>
      <rPr>
        <sz val="11"/>
        <rFont val="돋움"/>
        <family val="3"/>
        <charset val="129"/>
      </rPr>
      <t xml:space="preserve">사용자정의 캘린더</t>
    </r>
    <r>
      <rPr>
        <sz val="11"/>
        <rFont val="Calibri"/>
        <family val="2"/>
        <charset val="1"/>
      </rPr>
      <t xml:space="preserve">1", "</t>
    </r>
    <r>
      <rPr>
        <sz val="11"/>
        <rFont val="돋움"/>
        <family val="3"/>
        <charset val="129"/>
      </rPr>
      <t xml:space="preserve">사용자정의 캘린더</t>
    </r>
    <r>
      <rPr>
        <sz val="11"/>
        <rFont val="Calibri"/>
        <family val="2"/>
        <charset val="1"/>
      </rPr>
      <t xml:space="preserve">2"</t>
    </r>
    <r>
      <rPr>
        <sz val="11"/>
        <rFont val="돋움"/>
        <family val="3"/>
        <charset val="129"/>
      </rPr>
      <t xml:space="preserve">에 휴무일을 지정하여 사용합니다</t>
    </r>
    <r>
      <rPr>
        <sz val="11"/>
        <rFont val="Calibri"/>
        <family val="2"/>
        <charset val="1"/>
      </rPr>
      <t xml:space="preserve">.</t>
    </r>
  </si>
  <si>
    <t xml:space="preserve">표준캘린더</t>
  </si>
  <si>
    <r>
      <rPr>
        <sz val="14"/>
        <rFont val="돋움"/>
        <family val="3"/>
        <charset val="129"/>
      </rPr>
      <t xml:space="preserve">사용자정의 캘린더</t>
    </r>
    <r>
      <rPr>
        <sz val="14"/>
        <rFont val="Calibri"/>
        <family val="2"/>
        <charset val="1"/>
      </rPr>
      <t xml:space="preserve">1</t>
    </r>
  </si>
  <si>
    <r>
      <rPr>
        <sz val="14"/>
        <rFont val="돋움"/>
        <family val="3"/>
        <charset val="129"/>
      </rPr>
      <t xml:space="preserve">사용자정의 캘린더</t>
    </r>
    <r>
      <rPr>
        <sz val="14"/>
        <rFont val="Calibri"/>
        <family val="2"/>
        <charset val="1"/>
      </rPr>
      <t xml:space="preserve">2</t>
    </r>
  </si>
  <si>
    <t xml:space="preserve">휴무일명</t>
  </si>
  <si>
    <t xml:space="preserve">휴무일자</t>
  </si>
  <si>
    <t xml:space="preserve">2019년 신정</t>
  </si>
  <si>
    <t xml:space="preserve">2019년 설연휴</t>
  </si>
  <si>
    <t xml:space="preserve">2019년 설날</t>
  </si>
  <si>
    <t xml:space="preserve">2019년 삼일절</t>
  </si>
  <si>
    <t xml:space="preserve">2019년 어린이날 대체휴일</t>
  </si>
  <si>
    <t xml:space="preserve">2019년 현충일</t>
  </si>
  <si>
    <t xml:space="preserve">2019년 광복절</t>
  </si>
  <si>
    <t xml:space="preserve">2019년 추석연휴</t>
  </si>
  <si>
    <t xml:space="preserve">2019년 추석</t>
  </si>
  <si>
    <t xml:space="preserve">2019년 개천절</t>
  </si>
  <si>
    <t xml:space="preserve">2019년 한글날</t>
  </si>
  <si>
    <t xml:space="preserve">2019년 성탄절</t>
  </si>
  <si>
    <t xml:space="preserve">2020년 신정</t>
  </si>
  <si>
    <t xml:space="preserve">2020년 설연휴</t>
  </si>
  <si>
    <t xml:space="preserve">2020년 설날 대체휴일</t>
  </si>
  <si>
    <t xml:space="preserve">21대 국회위원 선거일</t>
  </si>
  <si>
    <t xml:space="preserve">2020년 부처님오신날</t>
  </si>
  <si>
    <t xml:space="preserve">2020년 어린이날</t>
  </si>
  <si>
    <t xml:space="preserve">2020년 추석연휴</t>
  </si>
  <si>
    <t xml:space="preserve">2020년 추석</t>
  </si>
  <si>
    <t xml:space="preserve">2020년 한글날</t>
  </si>
  <si>
    <t xml:space="preserve">2020년 성탄절</t>
  </si>
  <si>
    <t xml:space="preserve">더 이상 입력불가</t>
  </si>
  <si>
    <t xml:space="preserve">Reserved</t>
  </si>
  <si>
    <t xml:space="preserve">Text Index</t>
  </si>
  <si>
    <t xml:space="preserve">Description</t>
  </si>
  <si>
    <t xml:space="preserve">English</t>
  </si>
  <si>
    <t xml:space="preserve">Korean</t>
  </si>
  <si>
    <t xml:space="preserve">E</t>
  </si>
  <si>
    <t xml:space="preserve">reserved index</t>
  </si>
  <si>
    <t xml:space="preserve">*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</si>
  <si>
    <t xml:space="preserve">*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</si>
  <si>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 xml:space="preserve">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</si>
  <si>
    <t xml:space="preserve">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</si>
  <si>
    <t xml:space="preserve">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</si>
  <si>
    <t xml:space="preserve">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</si>
  <si>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 xml:space="preserve">Error! Cause may be one of the following.\n * File is invalid(e.g. the Excel file corrupted)\n * Data format is invalid(First row:title, from second row:contents or XLGantt file is valid)\n * If you cancel to open the file that is already opened\n\n Please check the messages below for details.</t>
  </si>
  <si>
    <t xml:space="preserve">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</si>
  <si>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You can import  files created in XLGantt._x005F_x000D_
* You can import files if the version is 0.9.7 or higher than 0.9.7_x005F_x000D_
* You can import up to 10,000 records._x005F_x000D_
* You can import multiple files simultaneously.</t>
  </si>
  <si>
    <t xml:space="preserve">* 가져올 파일이 XLGantt로 작성된 경우만 가능_x005F_x000D_
\n* XLGantt의 버전이 0.9.7 이상인 경우만 가능\n* 자료의 갯수는 10,000개 이하까지만 처리됨_x005F_x000D_
\n* 여러개의 파일 동시처리 가능_x005F_x000D_
</t>
  </si>
  <si>
    <t xml:space="preserve">Project duration is too long. The earliest start date is {1} and the latest finish date is {2}, so the project duration is {3} days. The maximum number of days allowed in XLGantt is {4} days. Reduce the project duration to within the limits allowed by XLGantt.</t>
  </si>
  <si>
    <t xml:space="preserve">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</si>
  <si>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 xml:space="preserve">Saturdays, Sundays and the dates entered in the Calendar sheet_x005F_x000D_</t>
  </si>
  <si>
    <t xml:space="preserve">토요일,일요일 및 Calendar sheet에 입력된 날짜_x005F_x000D_</t>
  </si>
  <si>
    <t xml:space="preserve">              From                      To</t>
  </si>
  <si>
    <t xml:space="preserve"> Source필드 명       Target필드 명</t>
  </si>
  <si>
    <t xml:space="preserve">           Field Name         Example</t>
  </si>
  <si>
    <t xml:space="preserve"> 필드 명                값 예시</t>
  </si>
  <si>
    <t xml:space="preserve">       Field Name           Field Value</t>
  </si>
  <si>
    <t xml:space="preserve"> 필드 명                필드 값</t>
  </si>
  <si>
    <t xml:space="preserve"> Mapped</t>
  </si>
  <si>
    <t xml:space="preserve"> Mapping된 상태</t>
  </si>
  <si>
    <t xml:space="preserve"> Setting nonworking days in the project calendar</t>
  </si>
  <si>
    <t xml:space="preserve"> 프로젝트 휴무일 Calendar 설정</t>
  </si>
  <si>
    <t xml:space="preserve">"%Work Complete" is invalid. Type a number between 0% and 100%.</t>
  </si>
  <si>
    <t xml:space="preserve">실적진척율은 0~100% 범위만 입력가능합니다.</t>
  </si>
  <si>
    <t xml:space="preserve">"Outline level"(task Level) field. It displays the level of a task.Instead of "Outline level", you can use "WBS".</t>
  </si>
  <si>
    <t xml:space="preserve">개요수준(작업Level)필드입니다. 작업의 Level을 표시합니다. 예를 들어 2 Level의 작업이면 숫자 2로 표시됩니다. 개요수준대신 WBS필드(1.3.2 등의 형식으로 표시)를 사용하기도 합니다.</t>
  </si>
  <si>
    <t xml:space="preserve">"WBS"(Work Breakdown Structure) field. It displays the level of a task. Instead of WBS, you can use "Outline level".</t>
  </si>
  <si>
    <t xml:space="preserve">WBS(Work Breakdown Structure) 필드입니다. 작업의 Level을 표시합니다. 1.3.2 등의 형식으로 표시됩니다. WBS대신 개요수준(작업Level)필드를 사용하기도 합니다. 예를 들어 2 Level의 작업이면 숫자 2로 표시됩니다.</t>
  </si>
  <si>
    <t xml:space="preserve">%Work Complete</t>
  </si>
  <si>
    <t xml:space="preserve">실적진척율</t>
  </si>
  <si>
    <t xml:space="preserve">%Work Complete(B)</t>
  </si>
  <si>
    <t xml:space="preserve">실적 진척율(B)</t>
  </si>
  <si>
    <t xml:space="preserve">%Work Complete(C/A)</t>
  </si>
  <si>
    <t xml:space="preserve">실적(C/A)</t>
  </si>
  <si>
    <t xml:space="preserve">for import columun</t>
  </si>
  <si>
    <t xml:space="preserve">%Work__Complete</t>
  </si>
  <si>
    <t xml:space="preserve">실적</t>
  </si>
  <si>
    <t xml:space="preserve">%Work\nComplete</t>
  </si>
  <si>
    <t xml:space="preserve">* Automactically calulated if you click the "Update Schedule" button</t>
  </si>
  <si>
    <t xml:space="preserve">* "스케줄업데이트" 버튼 클릭 시 아래 항목이 자동계산됩니다.</t>
  </si>
  <si>
    <t xml:space="preserve">* Choose a language</t>
  </si>
  <si>
    <t xml:space="preserve">* 언어를 선택하세요</t>
  </si>
  <si>
    <t xml:space="preserve">* Common Excel file, Not XLGantt file\n   (First row is title,from second rows are contents)\n* You can import only one file at once.</t>
  </si>
  <si>
    <t xml:space="preserve">* XLGantt 파일이 아닌 Excel파일(1행은 제목, 2행부터 내용이 있는 파일)\n* 자료갯수 제한 없음\n* 한번에 한개의 파일만 처리됨</t>
  </si>
  <si>
    <t xml:space="preserve">* This sheet shows you project progresses by weeks.</t>
  </si>
  <si>
    <t xml:space="preserve">* 주별로 프로젝트 진적율을 보여줍니다.</t>
  </si>
  <si>
    <t xml:space="preserve">* This sheet shows you project progresses by months.</t>
  </si>
  <si>
    <t xml:space="preserve">* 월별로 프로젝트 진적율을 보여줍니다.</t>
  </si>
  <si>
    <t xml:space="preserve">* This sheet shows you tasks, workloads, progresses(%Work complete), etc by resources.</t>
  </si>
  <si>
    <t xml:space="preserve">* 담당별로 투입된 Task와 총작업량, 계획작업량, 진척작업을 Man-day로 보여주고, 계획/실적 진행율을 보여줍니다.</t>
  </si>
  <si>
    <t xml:space="preserve">* This sheet shows you workload allocations by resources.</t>
  </si>
  <si>
    <t xml:space="preserve">* 담당별 Workload를 보여줍니다.</t>
  </si>
  <si>
    <t xml:space="preserve">* This sheet shows you workload allocations by weeks or months.</t>
  </si>
  <si>
    <t xml:space="preserve">* 주별 또는 월별 Workload를 보여줍니다.</t>
  </si>
  <si>
    <t xml:space="preserve">* This sheet shows you workload and %Work complete.</t>
  </si>
  <si>
    <t xml:space="preserve">* 프로젝트 작업량과 진척율을 보여줍니다.</t>
  </si>
  <si>
    <t xml:space="preserve">* You need to click the "Progress by Weeks" button to update the contents.</t>
  </si>
  <si>
    <t xml:space="preserve">* "진척율(주별)" 메뉴를 클릭해야 갱신됨</t>
  </si>
  <si>
    <t xml:space="preserve">* You need to click the "Progress by Months" button to update the contents.</t>
  </si>
  <si>
    <t xml:space="preserve">* "진척율(월별)" 메뉴를 클릭해야 갱신됨</t>
  </si>
  <si>
    <t xml:space="preserve">* You need to click the "Progresses by Resources" button to update contents.</t>
  </si>
  <si>
    <t xml:space="preserve">* "담당별진행율" 메뉴를 클릭해야 내용이 갱신됩니다.</t>
  </si>
  <si>
    <t xml:space="preserve">* You need to click the "Workloads by Resources" button to update the contents.</t>
  </si>
  <si>
    <t xml:space="preserve">* "Workload(담당별)" 메뉴를 클릭해야 내용이 갱신됩니다.</t>
  </si>
  <si>
    <t xml:space="preserve">* You need to click the "Workloads by Weeks" or "Workloads by Months" button to update the contents.</t>
  </si>
  <si>
    <t xml:space="preserve">* "Workload(주별)" 또는 "Workload(월별)" 메뉴를 클릭해야 내용이 갱신됩니다.</t>
  </si>
  <si>
    <t xml:space="preserve">[Resources unspecified]</t>
  </si>
  <si>
    <t xml:space="preserve">[담당자미지정]</t>
  </si>
  <si>
    <t xml:space="preserve">{} "Outlook Appointment(s)" have been added.</t>
  </si>
  <si>
    <t xml:space="preserve">Outlook일정이 {}건 등록되었습니다.</t>
  </si>
  <si>
    <t xml:space="preserve">{} "Outlook Task(s)" have been added.</t>
  </si>
  <si>
    <t xml:space="preserve">Outlook작업이 {}건 등록되었습니다.</t>
  </si>
  <si>
    <t xml:space="preserve">{} file does not exist.</t>
  </si>
  <si>
    <t xml:space="preserve">{} 파일이 존재하지 않습니다</t>
  </si>
  <si>
    <t xml:space="preserve">&lt;&lt; Remove</t>
  </si>
  <si>
    <t xml:space="preserve">&lt;&lt; 제거</t>
  </si>
  <si>
    <t xml:space="preserve">&lt;&lt; Unmap</t>
  </si>
  <si>
    <t xml:space="preserve">&lt;&lt; Mapping취소</t>
  </si>
  <si>
    <t xml:space="preserve">12/1/2018</t>
  </si>
  <si>
    <t xml:space="preserve">12/31/2018</t>
  </si>
  <si>
    <t xml:space="preserve">About</t>
  </si>
  <si>
    <t xml:space="preserve">Planned Workload Accumulated(Man-Day)</t>
  </si>
  <si>
    <t xml:space="preserve">계획작업량 누적(Man-Day)</t>
  </si>
  <si>
    <t xml:space="preserve">Actual Accumulated\nMan-Day</t>
  </si>
  <si>
    <t xml:space="preserve">실제 누적\nMan-Day</t>
  </si>
  <si>
    <t xml:space="preserve">Accumulated\nMan-Day</t>
  </si>
  <si>
    <t xml:space="preserve">누적\nMan-Day</t>
  </si>
  <si>
    <t xml:space="preserve">manual input</t>
  </si>
  <si>
    <t xml:space="preserve">Actual</t>
  </si>
  <si>
    <t xml:space="preserve">Actual %Complete is invalid. Enter a number only. Verify row {} of the source file.</t>
  </si>
  <si>
    <t xml:space="preserve">실적진척율에 숫자가 아닌 값이 포함되어 있습니다. Import하는 파일의 {}행을 확인하세요.</t>
  </si>
  <si>
    <t xml:space="preserve">Actual %Work Complete from the start date to the current date</t>
  </si>
  <si>
    <t xml:space="preserve">현재날짜까지 실제로 진행된 진척율, WBS의 "실적진척율"의 전체 합계 진척율을 표시함</t>
  </si>
  <si>
    <t xml:space="preserve">Actual Finish</t>
  </si>
  <si>
    <t xml:space="preserve">실제완료일</t>
  </si>
  <si>
    <t xml:space="preserve">Actual Finish Date</t>
  </si>
  <si>
    <t xml:space="preserve">실제완료일자</t>
  </si>
  <si>
    <t xml:space="preserve">Actual finish date field of a task. It must be in date format.</t>
  </si>
  <si>
    <t xml:space="preserve">각 작업의 실제완료일(또는 실제종료일)을 표시합니다. 반드시 날짜 형식이어야 합니다.</t>
  </si>
  <si>
    <t xml:space="preserve">Actual finish date is invalid.</t>
  </si>
  <si>
    <t xml:space="preserve">실제완료일의 날짜형식이 잘못되었습니다.</t>
  </si>
  <si>
    <t xml:space="preserve">Actual finish date is invalid. Verify row {} of the source file.</t>
  </si>
  <si>
    <t xml:space="preserve">실제완료일자에 날짜가 아닌 값이 포함되어 있습니다. Import하는 파일의 {}행을 확인하세요.</t>
  </si>
  <si>
    <t xml:space="preserve">Actual progress rate(%Work Complete) field.</t>
  </si>
  <si>
    <t xml:space="preserve">실제진척율 필드입니다. 현재까지 실제 진척된 작업량을 %로 표현합니다.</t>
  </si>
  <si>
    <t xml:space="preserve">Actual Start</t>
  </si>
  <si>
    <t xml:space="preserve">실제시작일</t>
  </si>
  <si>
    <t xml:space="preserve">Actual Start Date</t>
  </si>
  <si>
    <t xml:space="preserve">실제시작일자</t>
  </si>
  <si>
    <t xml:space="preserve">Actual start date field of a task. It must be in date format.</t>
  </si>
  <si>
    <t xml:space="preserve">각 작업의 실제시작일을 표시합니다. 반드시 날짜 형식이어야 합니다.</t>
  </si>
  <si>
    <t xml:space="preserve">Actual start date is invalid.</t>
  </si>
  <si>
    <t xml:space="preserve">실제시작일의 날짜형식이 잘못되었습니다.</t>
  </si>
  <si>
    <t xml:space="preserve">Actual start date is invalid. Verify row {} of the source file.</t>
  </si>
  <si>
    <t xml:space="preserve">실제시작일자에 날짜가 아닌 값이 포함되어 있습니다. Import하는 파일의 {}행을 확인하세요.</t>
  </si>
  <si>
    <t xml:space="preserve">Actual Total Work\nMan-day</t>
  </si>
  <si>
    <t xml:space="preserve">실제 총작업량\nMan-day</t>
  </si>
  <si>
    <t xml:space="preserve">Actual Total__Duration</t>
  </si>
  <si>
    <t xml:space="preserve">실제 총기간__(전체 기간)</t>
  </si>
  <si>
    <t xml:space="preserve">Actual Total\nDuration</t>
  </si>
  <si>
    <t xml:space="preserve">실제\n총기간</t>
  </si>
  <si>
    <t xml:space="preserve">Actual Total\nWork(Total\nManDay)</t>
  </si>
  <si>
    <t xml:space="preserve">실제 총작업량\n(총ManDay,_x005F_x000D_가중치 감안)</t>
  </si>
  <si>
    <t xml:space="preserve">Actual__Finish</t>
  </si>
  <si>
    <t xml:space="preserve">실제__완료일</t>
  </si>
  <si>
    <t xml:space="preserve">Actual__Start</t>
  </si>
  <si>
    <t xml:space="preserve">실제__시작일</t>
  </si>
  <si>
    <t xml:space="preserve">Actual__Total Duration</t>
  </si>
  <si>
    <t xml:space="preserve">실제__총기간</t>
  </si>
  <si>
    <t xml:space="preserve">Actual__Total Work</t>
  </si>
  <si>
    <t xml:space="preserve">실제__총작업량</t>
  </si>
  <si>
    <t xml:space="preserve">Actual\nFinish</t>
  </si>
  <si>
    <t xml:space="preserve">실제\n완료일</t>
  </si>
  <si>
    <t xml:space="preserve">Actual\nStart</t>
  </si>
  <si>
    <t xml:space="preserve">실제\n시작일</t>
  </si>
  <si>
    <t xml:space="preserve">Actual\nStart-Finish</t>
  </si>
  <si>
    <t xml:space="preserve">실제_x005F_x000D_\n시작일-완료일</t>
  </si>
  <si>
    <t xml:space="preserve">Actual\nTotal Duration</t>
  </si>
  <si>
    <t xml:space="preserve">Actual\nTotal Work</t>
  </si>
  <si>
    <t xml:space="preserve">실제\n총작업량</t>
  </si>
  <si>
    <t xml:space="preserve">Actually performed workload</t>
  </si>
  <si>
    <t xml:space="preserve">Actually Performed workload when managing schedule changes</t>
  </si>
  <si>
    <t xml:space="preserve">Actually performed workload when not managing schedule changes(Total Duration x %Work Complete)</t>
  </si>
  <si>
    <t xml:space="preserve">일정변경관리 하지 않을 때 현재까지 실제로 진행된 작업기간을 표시함(총기간 x 총실적진행율)</t>
  </si>
  <si>
    <t xml:space="preserve">Add &gt;&gt;</t>
  </si>
  <si>
    <t xml:space="preserve">추가 &gt;&gt;</t>
  </si>
  <si>
    <t xml:space="preserve">Add Languages</t>
  </si>
  <si>
    <t xml:space="preserve">언어 추가</t>
  </si>
  <si>
    <t xml:space="preserve">Add to MS Outlook Calendar</t>
  </si>
  <si>
    <t xml:space="preserve">MS Outlook일정 등록</t>
  </si>
  <si>
    <t xml:space="preserve">Add to MS Outlook Task</t>
  </si>
  <si>
    <t xml:space="preserve">MS Outlook작업 등록</t>
  </si>
  <si>
    <t xml:space="preserve">After turning off filtering, we'll proceed.</t>
  </si>
  <si>
    <t xml:space="preserve">필터를 해제하고 작업을 진행합니다.</t>
  </si>
  <si>
    <t xml:space="preserve">All tasks</t>
  </si>
  <si>
    <t xml:space="preserve">전체 조회(필터 해제)</t>
  </si>
  <si>
    <t xml:space="preserve">An error occurred while checking for updates. Please try again \nError Message: {}</t>
  </si>
  <si>
    <t xml:space="preserve">최신버전 확인 중 에러가 발생했습니다. 잠시 후 다시 시도하세요.\n에러메시지 : {}</t>
  </si>
  <si>
    <t xml:space="preserve">An error occurred while checking XLGantt cell formats. Please restart XLGantt.</t>
  </si>
  <si>
    <t xml:space="preserve">서식check 중 에러가 발생하였습니다. XLGantt를 종료하고 다시 시작하십시오.</t>
  </si>
  <si>
    <t xml:space="preserve">An error occurred while processing. Please check the messages below.</t>
  </si>
  <si>
    <t xml:space="preserve">처리 중 에러가 발생했습니다. 아래의 메시지를 확인하십시오.</t>
  </si>
  <si>
    <t xml:space="preserve">Analysis</t>
  </si>
  <si>
    <t xml:space="preserve">Automatically defined</t>
  </si>
  <si>
    <t xml:space="preserve">Available Languages</t>
  </si>
  <si>
    <t xml:space="preserve">추가 가능한 언어</t>
  </si>
  <si>
    <t xml:space="preserve">Bar chart Text Display Position</t>
  </si>
  <si>
    <t xml:space="preserve">Bar chart의 텍스트 표시 위치</t>
  </si>
  <si>
    <t xml:space="preserve">Because the following task already has been added, XLGantt does not add it to "Outlook".\n\nTask Name : {1} \nDue Date : {2}</t>
  </si>
  <si>
    <t xml:space="preserve">다음 작업은 이미 등록되어 있으므로 등록하지 않습니다.\n\n작업명 : {1} \n기한 : {2}</t>
  </si>
  <si>
    <t xml:space="preserve">Because the following task already has been added, XLGantt does not add it to "Outlook".\n\nTask Name : {1} \nStart Date : {2}</t>
  </si>
  <si>
    <t xml:space="preserve">다음 작업은 이미 등록되어 있으므로 등록하지 않습니다.\n\n작업명 : {1} \n시작일 : {2}</t>
  </si>
  <si>
    <t xml:space="preserve">blabla</t>
  </si>
  <si>
    <t xml:space="preserve">...</t>
  </si>
  <si>
    <t xml:space="preserve">By %Work Complete</t>
  </si>
  <si>
    <t xml:space="preserve">완료율</t>
  </si>
  <si>
    <t xml:space="preserve">By Duration</t>
  </si>
  <si>
    <t xml:space="preserve">기간</t>
  </si>
  <si>
    <t xml:space="preserve">By Resource</t>
  </si>
  <si>
    <t xml:space="preserve">Calculation Base Date of Planned %Work Complete</t>
  </si>
  <si>
    <t xml:space="preserve">계획진척율 계산 기준일자</t>
  </si>
  <si>
    <t xml:space="preserve">Calculation Base Date of Planned %Work Complete must be greater than or equal to project start date.</t>
  </si>
  <si>
    <t xml:space="preserve">계획진척율 계산 기준일자는 프로젝트 시작일보다 크거나 같아야 합니다.</t>
  </si>
  <si>
    <t xml:space="preserve">Calculation Base Date of Planned %Work Complete must be less than or equal to project finish date.</t>
  </si>
  <si>
    <t xml:space="preserve">계획진척율 계산 기준일자는 프로젝트 완료일보다 작거나 같아야 합니다.</t>
  </si>
  <si>
    <t xml:space="preserve">Cancel</t>
  </si>
  <si>
    <t xml:space="preserve">취소</t>
  </si>
  <si>
    <t xml:space="preserve">Chart</t>
  </si>
  <si>
    <t xml:space="preserve">차트</t>
  </si>
  <si>
    <t xml:space="preserve">Check for Updates</t>
  </si>
  <si>
    <t xml:space="preserve">최신버전\n확인</t>
  </si>
  <si>
    <t xml:space="preserve">Check for Updates on Startup </t>
  </si>
  <si>
    <t xml:space="preserve">프로그램 시작 시 최신버전 확인</t>
  </si>
  <si>
    <t xml:space="preserve">Check if you save deliverables in specific directory</t>
  </si>
  <si>
    <t xml:space="preserve">산출물 관리를 할 경우에 체크하세요</t>
  </si>
  <si>
    <t xml:space="preserve">Choose a file type to import</t>
  </si>
  <si>
    <t xml:space="preserve">가져올 파일 종류 선택</t>
  </si>
  <si>
    <t xml:space="preserve">Choose a language used in XLGantt</t>
  </si>
  <si>
    <t xml:space="preserve">XLGantt에서 사용할 언어 선택</t>
  </si>
  <si>
    <t xml:space="preserve">Choose a language used in XLGantt.</t>
  </si>
  <si>
    <t xml:space="preserve">XLGantt에서 사용할 언어를 선택하세요.</t>
  </si>
  <si>
    <t xml:space="preserve">Choose a language.</t>
  </si>
  <si>
    <t xml:space="preserve">언어를 선택하세요</t>
  </si>
  <si>
    <t xml:space="preserve">Choose an import option.</t>
  </si>
  <si>
    <t xml:space="preserve">가져오기 옵션을 선택하세요.</t>
  </si>
  <si>
    <t xml:space="preserve">Choose directly</t>
  </si>
  <si>
    <t xml:space="preserve">컴퓨터 O/S와 관계없이 직접 선택</t>
  </si>
  <si>
    <t xml:space="preserve">Choose the Type of Deliverables</t>
  </si>
  <si>
    <t xml:space="preserve">산출물 종류를 선택하세요</t>
  </si>
  <si>
    <t xml:space="preserve">Close</t>
  </si>
  <si>
    <t xml:space="preserve">닫기</t>
  </si>
  <si>
    <t xml:space="preserve">Completed(=100%)</t>
  </si>
  <si>
    <t xml:space="preserve">완료</t>
  </si>
  <si>
    <t xml:space="preserve">Contains</t>
  </si>
  <si>
    <t xml:space="preserve">포함</t>
  </si>
  <si>
    <t xml:space="preserve">Current Version</t>
  </si>
  <si>
    <t xml:space="preserve">현재 사용중인 버전</t>
  </si>
  <si>
    <t xml:space="preserve">Daily</t>
  </si>
  <si>
    <t xml:space="preserve">일별</t>
  </si>
  <si>
    <t xml:space="preserve">Daily view</t>
  </si>
  <si>
    <t xml:space="preserve">일별보기</t>
  </si>
  <si>
    <t xml:space="preserve">Days (Average number of working days per month)</t>
  </si>
  <si>
    <t xml:space="preserve">일 (월평균 근무일수)</t>
  </si>
  <si>
    <t xml:space="preserve">Days counted as Nonworking days </t>
  </si>
  <si>
    <t xml:space="preserve">휴무일로 계산되는 날</t>
  </si>
  <si>
    <t xml:space="preserve">Deliverables</t>
  </si>
  <si>
    <t xml:space="preserve">Deliverables field.</t>
  </si>
  <si>
    <t xml:space="preserve">산출물 필드입니다.</t>
  </si>
  <si>
    <t xml:space="preserve">Deliverables type is not selected</t>
  </si>
  <si>
    <t xml:space="preserve">산출물 종류가 선택되지 않았습니다</t>
  </si>
  <si>
    <t xml:space="preserve">Display  % Work Complete</t>
  </si>
  <si>
    <t xml:space="preserve">실적진척율 표시</t>
  </si>
  <si>
    <t xml:space="preserve">Display date</t>
  </si>
  <si>
    <t xml:space="preserve">날짜 표시</t>
  </si>
  <si>
    <t xml:space="preserve">Display font color to the gray for the completed tasks</t>
  </si>
  <si>
    <t xml:space="preserve">완료된 작업의 폰트색상 회색표시</t>
  </si>
  <si>
    <t xml:space="preserve">Display interior color to the gray for the task groups</t>
  </si>
  <si>
    <t xml:space="preserve">작업그룹의 배경색 회색표시</t>
  </si>
  <si>
    <t xml:space="preserve">Display Planned %Work Complete</t>
  </si>
  <si>
    <t xml:space="preserve">계획진척율 표시</t>
  </si>
  <si>
    <t xml:space="preserve">Display resource</t>
  </si>
  <si>
    <t xml:space="preserve">담당 표시</t>
  </si>
  <si>
    <t xml:space="preserve">Display task name </t>
  </si>
  <si>
    <t xml:space="preserve">작업명 표시</t>
  </si>
  <si>
    <t xml:space="preserve">Display date on timescale</t>
  </si>
  <si>
    <t xml:space="preserve">간트차트 눈금에 날짜 표시</t>
  </si>
  <si>
    <t xml:space="preserve">Display the task name in the same field</t>
  </si>
  <si>
    <t xml:space="preserve">같은 필드에 작업명 표시</t>
  </si>
  <si>
    <t xml:space="preserve">Display the total workload of the project</t>
  </si>
  <si>
    <t xml:space="preserve">프로젝트 전체의 작업량을 Man/Day로 표시한다. 가중치를 적용한 값이다.</t>
  </si>
  <si>
    <t xml:space="preserve">Displays the task name in the different field for each level</t>
  </si>
  <si>
    <t xml:space="preserve">Level별로 다른 필드에 작업명 표시</t>
  </si>
  <si>
    <t xml:space="preserve">Download the latest version</t>
  </si>
  <si>
    <t xml:space="preserve">프로그램 최신버전 다운로드</t>
  </si>
  <si>
    <t xml:space="preserve">Drawing Gantt chart</t>
  </si>
  <si>
    <t xml:space="preserve">Gantt chart 그리기 작업</t>
  </si>
  <si>
    <t xml:space="preserve">Drawing progress line</t>
  </si>
  <si>
    <t xml:space="preserve">진척율선 그리기</t>
  </si>
  <si>
    <t xml:space="preserve">Duration </t>
  </si>
  <si>
    <t xml:space="preserve">기간 지정</t>
  </si>
  <si>
    <t xml:space="preserve">Edit a Task</t>
  </si>
  <si>
    <t xml:space="preserve">작업 정보</t>
  </si>
  <si>
    <t xml:space="preserve">Enabled Languages</t>
  </si>
  <si>
    <t xml:space="preserve">사용할 수 있는 언어</t>
  </si>
  <si>
    <t xml:space="preserve">Equals</t>
  </si>
  <si>
    <t xml:space="preserve">같음</t>
  </si>
  <si>
    <t xml:space="preserve">Error! Calculated Total Man-Day is different from the Total Man-Day of the {} sheet.</t>
  </si>
  <si>
    <t xml:space="preserve">오류! 계산된 Total Man-Day가 {} sheet의 Total Man-Day와 다릅니다.</t>
  </si>
  <si>
    <t xml:space="preserve">Error! Cause may be one of the following.\n * File is invalid(e.g. the XLGantt file corrupted)\n * Not XLGantt file but General Excel file\n\n Please check the messages below for details.</t>
  </si>
  <si>
    <t xml:space="preserve">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</si>
  <si>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 xml:space="preserve">Error, Invalid field specified.</t>
  </si>
  <si>
    <t xml:space="preserve">오류, 지정할 수 없는 필드가 있습니다</t>
  </si>
  <si>
    <t xml:space="preserve">Etc</t>
  </si>
  <si>
    <t xml:space="preserve">기타</t>
  </si>
  <si>
    <t xml:space="preserve">Excel</t>
  </si>
  <si>
    <t xml:space="preserve">Execution path of Program</t>
  </si>
  <si>
    <t xml:space="preserve">프로그램 실행경로</t>
  </si>
  <si>
    <t xml:space="preserve">Extension</t>
  </si>
  <si>
    <t xml:space="preserve">확장자명</t>
  </si>
  <si>
    <t xml:space="preserve">Filter</t>
  </si>
  <si>
    <t xml:space="preserve">필터 적용</t>
  </si>
  <si>
    <t xml:space="preserve">Filter Task</t>
  </si>
  <si>
    <t xml:space="preserve">작업 필터</t>
  </si>
  <si>
    <t xml:space="preserve">Finish</t>
  </si>
  <si>
    <t xml:space="preserve">Finish Date</t>
  </si>
  <si>
    <t xml:space="preserve">완료일자</t>
  </si>
  <si>
    <t xml:space="preserve">Finish date field of a task. It must be in date format.</t>
  </si>
  <si>
    <t xml:space="preserve">각 작업의 완료일(또는 종료일)을 표시합니다. 반드시 날짜 형식이어야 합니다.</t>
  </si>
  <si>
    <t xml:space="preserve">Finish date is invalid.</t>
  </si>
  <si>
    <t xml:space="preserve">작업완료일의 날짜형식이 잘못되었습니다.</t>
  </si>
  <si>
    <t xml:space="preserve">Finish date is invalid. Verify row {} of the source file.</t>
  </si>
  <si>
    <t xml:space="preserve">완료일자에 날짜가 아닌 값이 포함되어 있습니다. Import하는 파일의 {}행을 확인하세요.</t>
  </si>
  <si>
    <t xml:space="preserve">First day of week</t>
  </si>
  <si>
    <t xml:space="preserve">한주의 시작요일</t>
  </si>
  <si>
    <t xml:space="preserve">Follow the language setting of your computer O/S</t>
  </si>
  <si>
    <t xml:space="preserve">컴퓨터 O/S의 언어설정을 따름</t>
  </si>
  <si>
    <t xml:space="preserve">Fri</t>
  </si>
  <si>
    <t xml:space="preserve">금</t>
  </si>
  <si>
    <t xml:space="preserve">From (File to import )</t>
  </si>
  <si>
    <t xml:space="preserve">Source파일(가져올 파일 )</t>
  </si>
  <si>
    <t xml:space="preserve">From Date is invalid.</t>
  </si>
  <si>
    <t xml:space="preserve">시작날짜 형식이 잘못되었습니다.</t>
  </si>
  <si>
    <t xml:space="preserve">Gantt Chart Display</t>
  </si>
  <si>
    <t xml:space="preserve">Gantt chart표시 방법</t>
  </si>
  <si>
    <t xml:space="preserve">Gantt Chart View Style</t>
  </si>
  <si>
    <t xml:space="preserve">Gantt Chart 보기 형식</t>
  </si>
  <si>
    <t xml:space="preserve">Gantt Chart Zoom Ratio(Max 999%)</t>
  </si>
  <si>
    <t xml:space="preserve">Gantt Chart 축소/확대 비율(최대 999%)</t>
  </si>
  <si>
    <t xml:space="preserve">General</t>
  </si>
  <si>
    <t xml:space="preserve">일반</t>
  </si>
  <si>
    <t xml:space="preserve">If the language in source file and the language in target file are different, you can not import.</t>
  </si>
  <si>
    <t xml:space="preserve">가져오는 파일(소스파일)에 설정된 언어와 이 파일(타겟파일)에 설정된 언어가 다르면 Import할 수 없습니다.</t>
  </si>
  <si>
    <t xml:space="preserve">If you choose "Assigning path by task name automatically" option, you need to set the upper path.</t>
  </si>
  <si>
    <t xml:space="preserve">작업명으로 하위 경로 자동지정을 선택한 경우에는 상위의 기본경로를 설정해야 합니다.</t>
  </si>
  <si>
    <t xml:space="preserve">If you do not enter the actual finish date of row number {1} in the {2} sheet, you can't enter "%Work Complete" as 100%.</t>
  </si>
  <si>
    <t xml:space="preserve">{2} sheet의 {1}행의 실제시작일만 입력하고 실제완료일을 비워놓으면 완료율을 100%로 입력할 수 없습니다.</t>
  </si>
  <si>
    <t xml:space="preserve">Import</t>
  </si>
  <si>
    <t xml:space="preserve">가져오기</t>
  </si>
  <si>
    <t xml:space="preserve">Import common Excel file</t>
  </si>
  <si>
    <t xml:space="preserve">일반 Excel 파일</t>
  </si>
  <si>
    <t xml:space="preserve">Import data after clearing the existing data</t>
  </si>
  <si>
    <t xml:space="preserve">기존Data 지우고 가져오기</t>
  </si>
  <si>
    <t xml:space="preserve">Import Data without Clearing the Existing Data</t>
  </si>
  <si>
    <t xml:space="preserve">기존Data 아래에 추가하기</t>
  </si>
  <si>
    <t xml:space="preserve">Import files created in XLGantt</t>
  </si>
  <si>
    <t xml:space="preserve">XLGantt로 작성된 파일 가져오기</t>
  </si>
  <si>
    <t xml:space="preserve">Import new data into the Schedule sheet after clearing the exisint data</t>
  </si>
  <si>
    <t xml:space="preserve">이 XLGantt파일에 있는 Data를 지우고 새로운 Data를 가져와서 _x005F_x000D_
붙여 넣기</t>
  </si>
  <si>
    <t xml:space="preserve">Import new data into the Schedule sheet without clearing the existing  data</t>
  </si>
  <si>
    <t xml:space="preserve">이 XLGantt파일에 있는 Data를 그대로 두고 맨 아래에 새로운 Data를 가져와서 붙여 넣기</t>
  </si>
  <si>
    <t xml:space="preserve">Import Option</t>
  </si>
  <si>
    <t xml:space="preserve">가져오기 옵션</t>
  </si>
  <si>
    <t xml:space="preserve">Import success!\nTotal rows of imported data : </t>
  </si>
  <si>
    <t xml:space="preserve">가져오기 작업이 정상적으로 완료되었습니다.\n가져온 자료의 전체 행수 : </t>
  </si>
  <si>
    <t xml:space="preserve">Import without clearing the existing data.</t>
  </si>
  <si>
    <t xml:space="preserve">기존Data에 추가하기</t>
  </si>
  <si>
    <t xml:space="preserve">Import Wizard</t>
  </si>
  <si>
    <t xml:space="preserve">파일 가져오기</t>
  </si>
  <si>
    <t xml:space="preserve">Importing..., Please wait...</t>
  </si>
  <si>
    <t xml:space="preserve">자료를 가져옵니다. 잠시만 기다려주세요...</t>
  </si>
  <si>
    <t xml:space="preserve">Included in the selection\nlist when deliverables\nnot specified</t>
  </si>
  <si>
    <t xml:space="preserve">산출물명 비었을때\n선택목록에 포함\n여부</t>
  </si>
  <si>
    <t xml:space="preserve">Indent Task</t>
  </si>
  <si>
    <t xml:space="preserve">작업레벨 내림</t>
  </si>
  <si>
    <t xml:space="preserve">Inside of the chart</t>
  </si>
  <si>
    <t xml:space="preserve">Chart 내부</t>
  </si>
  <si>
    <t xml:space="preserve">It recalculates duration and % Work Complete. Clicking the Save button will be the same.</t>
  </si>
  <si>
    <t xml:space="preserve">It's already chosen language.</t>
  </si>
  <si>
    <t xml:space="preserve">이미 선택된 언어입니다.</t>
  </si>
  <si>
    <t xml:space="preserve">Job Results</t>
  </si>
  <si>
    <t xml:space="preserve">작업결과</t>
  </si>
  <si>
    <t xml:space="preserve">John</t>
  </si>
  <si>
    <t xml:space="preserve">홍길동</t>
  </si>
  <si>
    <t xml:space="preserve">Language</t>
  </si>
  <si>
    <t xml:space="preserve">언어</t>
  </si>
  <si>
    <t xml:space="preserve">Left of the chart</t>
  </si>
  <si>
    <t xml:space="preserve">Chart 왼쪽</t>
  </si>
  <si>
    <t xml:space="preserve">License</t>
  </si>
  <si>
    <t xml:space="preserve">라이선스</t>
  </si>
  <si>
    <t xml:space="preserve">Managing Schedule Changes</t>
  </si>
  <si>
    <t xml:space="preserve">일정변경 관리함(시작일/완료일, 실제시작일/실제완료일 사용)</t>
  </si>
  <si>
    <t xml:space="preserve">Man-Day</t>
  </si>
  <si>
    <t xml:space="preserve">Planned Workload(Man-Day)</t>
  </si>
  <si>
    <t xml:space="preserve">계획작업량(Man-Day)</t>
  </si>
  <si>
    <t xml:space="preserve">Actual Man-Day</t>
  </si>
  <si>
    <t xml:space="preserve">실제 Man-Day</t>
  </si>
  <si>
    <t xml:space="preserve">Man-Month</t>
  </si>
  <si>
    <t xml:space="preserve">Map &gt;&gt;</t>
  </si>
  <si>
    <t xml:space="preserve">Mapping &gt;&gt;</t>
  </si>
  <si>
    <t xml:space="preserve">mm/dd/yyyy</t>
  </si>
  <si>
    <t xml:space="preserve">yyyy/mm/dd</t>
  </si>
  <si>
    <t xml:space="preserve">mmmm yyyy</t>
  </si>
  <si>
    <t xml:space="preserve">yyyy년 m월</t>
  </si>
  <si>
    <t xml:space="preserve">Mon</t>
  </si>
  <si>
    <t xml:space="preserve">월</t>
  </si>
  <si>
    <t xml:space="preserve">Monthly</t>
  </si>
  <si>
    <t xml:space="preserve">월별</t>
  </si>
  <si>
    <t xml:space="preserve">Monthly view</t>
  </si>
  <si>
    <t xml:space="preserve">월별보기</t>
  </si>
  <si>
    <t xml:space="preserve">Months</t>
  </si>
  <si>
    <t xml:space="preserve">Name of Nonworking Days</t>
  </si>
  <si>
    <t xml:space="preserve">New Version</t>
  </si>
  <si>
    <t xml:space="preserve">최신 버전</t>
  </si>
  <si>
    <t xml:space="preserve">Next &gt;&gt;</t>
  </si>
  <si>
    <t xml:space="preserve">다음 &gt;&gt;</t>
  </si>
  <si>
    <t xml:space="preserve">No need to enter in the Calendar sheet</t>
  </si>
  <si>
    <t xml:space="preserve">Calendar sheet에 입력할 필요 없음</t>
  </si>
  <si>
    <t xml:space="preserve">No need to enter Saturdays and Sundays in the Calendar sheet</t>
  </si>
  <si>
    <t xml:space="preserve">토요일,일요일은 Calendar sheet에 입력할 필요 없음</t>
  </si>
  <si>
    <t xml:space="preserve">Nonworking Days</t>
  </si>
  <si>
    <t xml:space="preserve">Not Completed(&lt;&gt;100%)</t>
  </si>
  <si>
    <t xml:space="preserve">미완료</t>
  </si>
  <si>
    <t xml:space="preserve">Not Managing Schedule Changes</t>
  </si>
  <si>
    <t xml:space="preserve">일정변경 관리 안함(시작일/완료일만 사용)</t>
  </si>
  <si>
    <t xml:space="preserve">Not Specified(Standard Calendar)</t>
  </si>
  <si>
    <t xml:space="preserve">지정하지 않음(표준캘린더)</t>
  </si>
  <si>
    <t xml:space="preserve">Note</t>
  </si>
  <si>
    <t xml:space="preserve">Of the first two rows, at least one has been deleted. Please retry after changing the sheet to its previous state.</t>
  </si>
  <si>
    <t xml:space="preserve">1~2행 중 한 행이 삭제되었습니다. 원래대로 복구한 후 작업하십시오.</t>
  </si>
  <si>
    <t xml:space="preserve">Once you choose "Display the task name in the same field" option, you should select a WBS No. or a WBS Level field.</t>
  </si>
  <si>
    <t xml:space="preserve">"같은 필드에 작업명 표시" 옵션을 선택했으면 WBS No. 또는 개요수준(WBS Level) 필드 중 하나는 선택되어야 합니다</t>
  </si>
  <si>
    <t xml:space="preserve">Only Saturdays and Sundays</t>
  </si>
  <si>
    <t xml:space="preserve">토요일,일요일만</t>
  </si>
  <si>
    <t xml:space="preserve">Only the dates entered in the Calendar sheet</t>
  </si>
  <si>
    <t xml:space="preserve">Calendar sheet에 입력된 날짜만</t>
  </si>
  <si>
    <t xml:space="preserve">Open Deliverables</t>
  </si>
  <si>
    <t xml:space="preserve">산출물 열기</t>
  </si>
  <si>
    <t xml:space="preserve">Open Deliverables Folder</t>
  </si>
  <si>
    <t xml:space="preserve">산출물 폴더 열기</t>
  </si>
  <si>
    <t xml:space="preserve">Options</t>
  </si>
  <si>
    <t xml:space="preserve">옵션</t>
  </si>
  <si>
    <t xml:space="preserve">Outdent Task</t>
  </si>
  <si>
    <t xml:space="preserve">작업레벨 올림</t>
  </si>
  <si>
    <t xml:space="preserve">Outline Level</t>
  </si>
  <si>
    <t xml:space="preserve">개요수준</t>
  </si>
  <si>
    <t xml:space="preserve">Percent </t>
  </si>
  <si>
    <t xml:space="preserve">퍼센트 지정</t>
  </si>
  <si>
    <t xml:space="preserve">Earned Value(C)\nMan-day</t>
  </si>
  <si>
    <t xml:space="preserve">실적기성( C )\nMan-day</t>
  </si>
  <si>
    <t xml:space="preserve">Earned value on planned schedule</t>
  </si>
  <si>
    <t xml:space="preserve">Earned value on planned schedule when managing schedule changes(Total Duration x %Work Complete)</t>
  </si>
  <si>
    <t xml:space="preserve">일정변경관리 할때 실적기성(총기간 x 총실적진행율)</t>
  </si>
  <si>
    <t xml:space="preserve">Pick a Date</t>
  </si>
  <si>
    <t xml:space="preserve">날짜 선택</t>
  </si>
  <si>
    <t xml:space="preserve">Plan</t>
  </si>
  <si>
    <t xml:space="preserve">Planned %Work Complete calculation base date</t>
  </si>
  <si>
    <t xml:space="preserve">Planned %Work Complete from the start date to the current date</t>
  </si>
  <si>
    <t xml:space="preserve">현재날짜까지 계획된 진척율, WBS의 "계획진척율"의 전체 합계 진척율을 표시함</t>
  </si>
  <si>
    <t xml:space="preserve">Planned %Work Complete(A)</t>
  </si>
  <si>
    <t xml:space="preserve">계획 진척율(A)</t>
  </si>
  <si>
    <t xml:space="preserve">Planned %Work Complete(B/A)</t>
  </si>
  <si>
    <t xml:space="preserve">계획(B/A)</t>
  </si>
  <si>
    <t xml:space="preserve">Planned Progress</t>
  </si>
  <si>
    <t xml:space="preserve">계획진척율</t>
  </si>
  <si>
    <t xml:space="preserve">Actual Progress</t>
  </si>
  <si>
    <t xml:space="preserve">실제진척율</t>
  </si>
  <si>
    <t xml:space="preserve">Project Progresses by Weeks</t>
  </si>
  <si>
    <t xml:space="preserve">프로젝트 진척율(주별)</t>
  </si>
  <si>
    <t xml:space="preserve">Project Progresses by Months</t>
  </si>
  <si>
    <t xml:space="preserve">프로젝트 진척율(월별)</t>
  </si>
  <si>
    <t xml:space="preserve">Planned Work(B)\nMan-day</t>
  </si>
  <si>
    <t xml:space="preserve">계획작업량(B)\nMan-day</t>
  </si>
  <si>
    <t xml:space="preserve">Planned Work\n(ManDay to Today)</t>
  </si>
  <si>
    <t xml:space="preserve">계획 작업량_x005F_x000D_
(현재일까지ManDay,_x005F_x000D_
가중치 감안)</t>
  </si>
  <si>
    <t xml:space="preserve">Planned workload</t>
  </si>
  <si>
    <t xml:space="preserve">Planned workload from the start date to the current date</t>
  </si>
  <si>
    <t xml:space="preserve">해당작업의 시작일부터 현재일까지의 작업기간을 의미함(현재 날짜까지 진행되었어야 할 기간)</t>
  </si>
  <si>
    <t xml:space="preserve">Planned__%Work Complete</t>
  </si>
  <si>
    <t xml:space="preserve">Planned__Duration</t>
  </si>
  <si>
    <t xml:space="preserve">계획__기간</t>
  </si>
  <si>
    <t xml:space="preserve">Planned__Work</t>
  </si>
  <si>
    <t xml:space="preserve">계획__작업량</t>
  </si>
  <si>
    <t xml:space="preserve">Planned\n%Work Complete</t>
  </si>
  <si>
    <t xml:space="preserve">Planned\nDuration</t>
  </si>
  <si>
    <t xml:space="preserve">계획\n기간</t>
  </si>
  <si>
    <t xml:space="preserve">Planned\nWork</t>
  </si>
  <si>
    <t xml:space="preserve">계획\n작업량</t>
  </si>
  <si>
    <t xml:space="preserve">Please choose a type of the task field.</t>
  </si>
  <si>
    <t xml:space="preserve">작업필드의 유형을 선택하세요.</t>
  </si>
  <si>
    <t xml:space="preserve">Please enter the extension.</t>
  </si>
  <si>
    <t xml:space="preserve">확장자명을 입력하세요.</t>
  </si>
  <si>
    <t xml:space="preserve">Please enter the path where deliverables are saved.</t>
  </si>
  <si>
    <t xml:space="preserve">산출물이 저장될 특정경로를 입력하세요.</t>
  </si>
  <si>
    <t xml:space="preserve">Please enter the program execution path.</t>
  </si>
  <si>
    <t xml:space="preserve">프로그램 실행경로를 입력하세요.</t>
  </si>
  <si>
    <t xml:space="preserve">Please set project calendars in this sheet.</t>
  </si>
  <si>
    <t xml:space="preserve">이 Sheet에서 프로젝트 Calendar를 설정하세요.</t>
  </si>
  <si>
    <t xml:space="preserve">Positive - ahead of schedule, Negative - behind schedule</t>
  </si>
  <si>
    <t xml:space="preserve">양수이면 계획보다 빨리 진행, 음수이면 지연</t>
  </si>
  <si>
    <t xml:space="preserve">Powerpoint</t>
  </si>
  <si>
    <t xml:space="preserve">Program Info</t>
  </si>
  <si>
    <t xml:space="preserve">프로그램 정보</t>
  </si>
  <si>
    <t xml:space="preserve">Program Name</t>
  </si>
  <si>
    <t xml:space="preserve">프로그램명</t>
  </si>
  <si>
    <t xml:space="preserve">Program Site</t>
  </si>
  <si>
    <t xml:space="preserve">프로그램 사이트</t>
  </si>
  <si>
    <t xml:space="preserve">진척율</t>
  </si>
  <si>
    <t xml:space="preserve">Progresses by Resources</t>
  </si>
  <si>
    <t xml:space="preserve">담당별\n진행율</t>
  </si>
  <si>
    <t xml:space="preserve">Project Execution Plan</t>
  </si>
  <si>
    <t xml:space="preserve">프로젝트수행계획서</t>
  </si>
  <si>
    <t xml:space="preserve">Project Information</t>
  </si>
  <si>
    <t xml:space="preserve">프로젝트 정보</t>
  </si>
  <si>
    <t xml:space="preserve">Project Name</t>
  </si>
  <si>
    <t xml:space="preserve">프로젝트명</t>
  </si>
  <si>
    <t xml:space="preserve">Project Progress - When managing schedule changes</t>
  </si>
  <si>
    <t xml:space="preserve">프로젝트 진척율 - 일정변경 관리할때</t>
  </si>
  <si>
    <t xml:space="preserve">Project Progress - When not managing schedule changes</t>
  </si>
  <si>
    <t xml:space="preserve">프로젝트 진척율 - 일정변경 관리하지 않을때</t>
  </si>
  <si>
    <t xml:space="preserve">Project Scheduler</t>
  </si>
  <si>
    <t xml:space="preserve">Reformatting</t>
  </si>
  <si>
    <t xml:space="preserve">서식\n재설정</t>
  </si>
  <si>
    <t xml:space="preserve">Regardless of the language setting in computer O/S, you can choose a language directly</t>
  </si>
  <si>
    <t xml:space="preserve">컴퓨터 O/S에 설정된 언어와 관계없이 사용자가 표시할 언어를 직접 선택할 수 _x005F_x000D_
있습니다.</t>
  </si>
  <si>
    <t xml:space="preserve">Release Date</t>
  </si>
  <si>
    <t xml:space="preserve">릴리즈 일자</t>
  </si>
  <si>
    <t xml:space="preserve">Resource field.</t>
  </si>
  <si>
    <t xml:space="preserve">자원 필드입니다. 담당자, 리소스 등의 이름으로 불리기도 합니다. 해당 작업의 담당자를 표시합니다</t>
  </si>
  <si>
    <t xml:space="preserve">Resources</t>
  </si>
  <si>
    <t xml:space="preserve">Right of the chart</t>
  </si>
  <si>
    <t xml:space="preserve">Chart 오른쪽</t>
  </si>
  <si>
    <t xml:space="preserve">Rows of imported data : </t>
  </si>
  <si>
    <t xml:space="preserve">가져온 자료의 행수 : </t>
  </si>
  <si>
    <t xml:space="preserve">Run "Update Schedule"  When Saving XLGantt File</t>
  </si>
  <si>
    <t xml:space="preserve">File저장시 "스케줄업데이트" 실행</t>
  </si>
  <si>
    <t xml:space="preserve">Sat</t>
  </si>
  <si>
    <t xml:space="preserve">토</t>
  </si>
  <si>
    <t xml:space="preserve">Save</t>
  </si>
  <si>
    <t xml:space="preserve">저장</t>
  </si>
  <si>
    <t xml:space="preserve">Schedule Change Management</t>
  </si>
  <si>
    <t xml:space="preserve">Schedule update has been completed.</t>
  </si>
  <si>
    <t xml:space="preserve">스케줄업데이트 작업이 완료되었습니다.</t>
  </si>
  <si>
    <t xml:space="preserve">Schedule Variance(B-A)</t>
  </si>
  <si>
    <t xml:space="preserve">차이(B-A)</t>
  </si>
  <si>
    <t xml:space="preserve">Search for the tasks based on criteria.</t>
  </si>
  <si>
    <t xml:space="preserve">Select source files(Muliple Select)</t>
  </si>
  <si>
    <t xml:space="preserve">가져올 파일을 선택하세요(다중선택가능)</t>
  </si>
  <si>
    <t xml:space="preserve">Set "the earlist start date and the lastest fisnish date of the tasks" to the Project Start-Finish date.</t>
  </si>
  <si>
    <t xml:space="preserve">Task의 가장 빠른 시작일과 가장 늦은 완료일을 프로젝트 기간으로 자동설정</t>
  </si>
  <si>
    <t xml:space="preserve">Set path by the task name automatically\n(in this case, specify the upper path of automatically assigned path) </t>
  </si>
  <si>
    <t xml:space="preserve">작업명으로 경로 자동지정(이 경우 자동지정된 경로의 상위경로를 입력) </t>
  </si>
  <si>
    <t xml:space="preserve">Set program execution paths to open deliverables</t>
  </si>
  <si>
    <t xml:space="preserve">산출물열기 프로그램 실행경로 지정</t>
  </si>
  <si>
    <t xml:space="preserve">Set saving path of deliverables</t>
  </si>
  <si>
    <t xml:space="preserve">산출물 저장경로</t>
  </si>
  <si>
    <t xml:space="preserve">Settings</t>
  </si>
  <si>
    <t xml:space="preserve">설정</t>
  </si>
  <si>
    <t xml:space="preserve">Specific Date</t>
  </si>
  <si>
    <t xml:space="preserve">특정날짜</t>
  </si>
  <si>
    <t xml:space="preserve">Specific path</t>
  </si>
  <si>
    <t xml:space="preserve">특정 경로</t>
  </si>
  <si>
    <t xml:space="preserve">Standard Calendar</t>
  </si>
  <si>
    <t xml:space="preserve">Star(*) marks-required fields, orange columns-automatically calculated</t>
  </si>
  <si>
    <t xml:space="preserve">별(*)표시는 필수입력, 주황색열은 자동계산</t>
  </si>
  <si>
    <t xml:space="preserve">Start</t>
  </si>
  <si>
    <t xml:space="preserve">Start Date</t>
  </si>
  <si>
    <t xml:space="preserve">시작일자</t>
  </si>
  <si>
    <t xml:space="preserve">Start date field of a task. It must be in date format.</t>
  </si>
  <si>
    <t xml:space="preserve">각 작업의 시작일을 표시합니다. 반드시 날짜 형식이어야 합니다.</t>
  </si>
  <si>
    <t xml:space="preserve">Start date is invalid.</t>
  </si>
  <si>
    <t xml:space="preserve">작업시작일의 날짜형식이 잘못되었습니다.</t>
  </si>
  <si>
    <t xml:space="preserve">Start date is invalid. Verify row {} of the source file.</t>
  </si>
  <si>
    <t xml:space="preserve">시작일자에 날짜가 아닌 값이 포함되어 있습니다. Import하는 파일의 {}행을 확인하세요.</t>
  </si>
  <si>
    <t xml:space="preserve">Start-Finish</t>
  </si>
  <si>
    <t xml:space="preserve">시작일-완료일</t>
  </si>
  <si>
    <t xml:space="preserve">Sun</t>
  </si>
  <si>
    <t xml:space="preserve">일</t>
  </si>
  <si>
    <t xml:space="preserve">Task</t>
  </si>
  <si>
    <t xml:space="preserve">작업</t>
  </si>
  <si>
    <t xml:space="preserve">Task area was not selected. Please select a task area.</t>
  </si>
  <si>
    <t xml:space="preserve">작업영역이 선택되지 않았습니다. 영역을 선택하세요.</t>
  </si>
  <si>
    <t xml:space="preserve">Task Name</t>
  </si>
  <si>
    <t xml:space="preserve">작업명</t>
  </si>
  <si>
    <t xml:space="preserve">Task name field.It's also referred to as "Work" or "Activity" or etc.</t>
  </si>
  <si>
    <t xml:space="preserve">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</si>
  <si>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 xml:space="preserve">Task(Task name or Name) is missing.</t>
  </si>
  <si>
    <t xml:space="preserve">Task(작업명, 이름 등)는 반드시 입력되어야 합니다.</t>
  </si>
  <si>
    <t xml:space="preserve">The "%Work Complete" column has been deleted. Please retry after changing the sheet to its previous state.</t>
  </si>
  <si>
    <t xml:space="preserve">실적진척율 열이 삭제되었습니다. 원래대로 복구한 후 작업하세요.</t>
  </si>
  <si>
    <t xml:space="preserve">The "%Work Complete" of row number {1} in the {2} sheet is not a number.</t>
  </si>
  <si>
    <t xml:space="preserve">{2} sheet의 {1}행의 실적진척율이 숫자가 아닙니다.</t>
  </si>
  <si>
    <t xml:space="preserve">The "Actual Finish Date" column has been deleted. Please retry after changing the sheet to its previous state.</t>
  </si>
  <si>
    <t xml:space="preserve">실제완료일 열이 삭제되었습니다. 원래대로 복구한 후 작업하세요.</t>
  </si>
  <si>
    <t xml:space="preserve">The "Actual Start Date" column has been deleted. Please retry after changing the sheet to its previous state.</t>
  </si>
  <si>
    <t xml:space="preserve">실제시작일 열이 삭제되었습니다. 원래대로 복구한 후 작업하세요.</t>
  </si>
  <si>
    <t xml:space="preserve">The "Actual Total Duration" column has been deleted. Please retry after changing the sheet to its previous state.</t>
  </si>
  <si>
    <t xml:space="preserve">실제총기간 열이 삭제되었습니다. 원래대로 복구한 후 작업하세요.</t>
  </si>
  <si>
    <t xml:space="preserve">The "Actual Total Work" column has been deleted. Please retry after changing the sheet to its previous state.</t>
  </si>
  <si>
    <t xml:space="preserve">실제총작업량 열이 삭제되었습니다. 원래대로 복구한 후 작업하세요.</t>
  </si>
  <si>
    <t xml:space="preserve">The "Calendar" column has been deleted. Please retry after changing the sheet to its previous state.</t>
  </si>
  <si>
    <t xml:space="preserve">Calendar 열이 삭제되었습니다. 원래대로 복구한 후 작업하세요.</t>
  </si>
  <si>
    <t xml:space="preserve">The "Deliverables" column has been deleted. Please retry after changing the sheet to its previous state.</t>
  </si>
  <si>
    <t xml:space="preserve">산출물 열이 삭제되었습니다. 원래대로 복구한 후 작업하세요.</t>
  </si>
  <si>
    <t xml:space="preserve">The "Finish Date" column has been deleted. Please retry after changing the sheet to its previous state.</t>
  </si>
  <si>
    <t xml:space="preserve">완료일 열이 삭제되었습니다. 원래대로 복구한 후 작업하세요.</t>
  </si>
  <si>
    <t xml:space="preserve">The "Note" column has been deleted. Please retry after changing the sheet to its previous state.</t>
  </si>
  <si>
    <t xml:space="preserve">비고 열이 삭제되었습니다. 원래대로 복구한 후 작업하세요.</t>
  </si>
  <si>
    <t xml:space="preserve">The "Planned %Work Complete" column has been deleted. Please retry after changing the sheet to its previous state.</t>
  </si>
  <si>
    <t xml:space="preserve">계획진척율 열이 삭제되었습니다. 원래대로 복구한 후 작업하세요.</t>
  </si>
  <si>
    <t xml:space="preserve">The "Planned Duration" column has been deleted. Please retry after changing the sheet to its previous state.</t>
  </si>
  <si>
    <t xml:space="preserve">계획기간 열이 삭제되었습니다. 원래대로 복구한 후 작업하세요.</t>
  </si>
  <si>
    <t xml:space="preserve">The "Planned Work" column has been deleted. Please retry after changing the sheet to its previous state.</t>
  </si>
  <si>
    <t xml:space="preserve">계획작업량 열이 삭제되었습니다. 원래대로 복구한 후 작업하세요.</t>
  </si>
  <si>
    <t xml:space="preserve">The "Resources" column has been deleted. Please retry after changing the sheet to its previous state.</t>
  </si>
  <si>
    <t xml:space="preserve">담당 열이 삭제되었습니다. 원래대로 복구한 후 작업하세요.</t>
  </si>
  <si>
    <t xml:space="preserve">The "Start Date" column has been deleted. Please retry after changing the sheet to its previous state.</t>
  </si>
  <si>
    <t xml:space="preserve">시작일 열이 삭제되었습니다. 원래대로 복구한 후 작업하세요.</t>
  </si>
  <si>
    <t xml:space="preserve">The "Task" column has been deleted. Please retry after changing the sheet to its previous state.</t>
  </si>
  <si>
    <t xml:space="preserve">작업 열이 삭제되었습니다. 원래대로 복구한 후 작업하세요.</t>
  </si>
  <si>
    <t xml:space="preserve">The "Total Duration" column has been deleted. Please retry after changing the sheet to its previous state.</t>
  </si>
  <si>
    <t xml:space="preserve">총기간 열이 삭제되었습니다. 원래대로 복구한 후 작업하세요.</t>
  </si>
  <si>
    <t xml:space="preserve">The "Total Work" column has been deleted. Please retry after changing the sheet to its previous state.</t>
  </si>
  <si>
    <t xml:space="preserve">총작업량 열이 삭제되었습니다. 원래대로 복구한 후 작업하세요.</t>
  </si>
  <si>
    <t xml:space="preserve">The "WBS Level" column has been deleted. Please retry after changing the sheet to its previous state.</t>
  </si>
  <si>
    <t xml:space="preserve">WBS Level 열이 삭제되었습니다. 원래대로 복구한 후 작업하세요.</t>
  </si>
  <si>
    <t xml:space="preserve">The "WBS" column has been deleted. Please retry after changing the sheet to its previous state.</t>
  </si>
  <si>
    <t xml:space="preserve">WBS 열이 삭제되었습니다. 원래대로 복구한 후 작업하세요.</t>
  </si>
  <si>
    <t xml:space="preserve">The "Weight" column has been deleted. Please retry after changing the sheet to its previous state.</t>
  </si>
  <si>
    <t xml:space="preserve">가중치 열이 삭제되었습니다. 원래대로 복구한 후 작업하세요.</t>
  </si>
  <si>
    <t xml:space="preserve">The {} sheet does not exist. Please check that you changed or deleted the sheet.</t>
  </si>
  <si>
    <t xml:space="preserve">{} sheet가 존재하지 않습니다. 이름을 변경하거나 삭제했는지 확인하세요.</t>
  </si>
  <si>
    <t xml:space="preserve">The {} sheet does not exist. Please check that you have changed or deleted the sheet.</t>
  </si>
  <si>
    <t xml:space="preserve">The actual finish date format of row number {1} in the {2} sheet is invalid.</t>
  </si>
  <si>
    <t xml:space="preserve">{2} sheet의 {1}행의 실제완료일이 날짜형식이 아닙니다. 정확한 날짜형식으로 입력하세요.</t>
  </si>
  <si>
    <t xml:space="preserve">The actual finish date of the row number {1} in the {2} sheet was entered, but the actual start date is empty.</t>
  </si>
  <si>
    <t xml:space="preserve">{2} sheet의 {1}행의 실제시작일이 비어있고 실제완료일만 입력되어 있습니다.</t>
  </si>
  <si>
    <t xml:space="preserve">The actual start date format of row number {1} in the {2} sheet is invalid.</t>
  </si>
  <si>
    <t xml:space="preserve">{2} sheet의 {1}행의 실제시작일이 날짜형식이 아닙니다. 정확한 날짜형식으로 입력하세요.</t>
  </si>
  <si>
    <t xml:space="preserve">The actual start date of row number {1} in the {2} sheet is later than the actual finish date.</t>
  </si>
  <si>
    <t xml:space="preserve">{2} sheet의 {1}행의 실제시작일이 실제완료일보다 큽니다.</t>
  </si>
  <si>
    <t xml:space="preserve">The actual start date of row number {1} in the {2} sheet is out of the project duration.</t>
  </si>
  <si>
    <t xml:space="preserve">{2} sheet의 {1}행의 실제 시작일이 프로젝트 기간을 벗어났습니다.</t>
  </si>
  <si>
    <t xml:space="preserve">The actual start or finish date of row number {1} in the {2} sheet is out of the project duration.</t>
  </si>
  <si>
    <t xml:space="preserve">{2} sheet의 {1}행의 실젝 시작일 또는 완료일이 프로젝트 기간을 벗어났습니다.</t>
  </si>
  <si>
    <t xml:space="preserve">The count of level</t>
  </si>
  <si>
    <t xml:space="preserve">Level의 갯수</t>
  </si>
  <si>
    <t xml:space="preserve">The date field of row number {1} in the {2} sheet was entered, but the task field is empty.\nEnter a value in the task field or clear the date field.</t>
  </si>
  <si>
    <t xml:space="preserve">{2} sheet의 {1}행의 날짜는 입력되었는데 작업필드가 비어있습니다.\n작업필드의 값을 채우거나 날짜를 지우세요.</t>
  </si>
  <si>
    <t xml:space="preserve">The deliverables name is empty.</t>
  </si>
  <si>
    <t xml:space="preserve">산출물명이 비어있습니다.</t>
  </si>
  <si>
    <t xml:space="preserve">The earliest start date({1}) of the tasks is earlier than the start date({2}) of the project.\n\nIn this case, there may be problems with resource calculations. Please change the start date to valid date.</t>
  </si>
  <si>
    <t xml:space="preserve">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</si>
  <si>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 xml:space="preserve">The finish date format of row number {1} in the {2} sheet is invalid.</t>
  </si>
  <si>
    <t xml:space="preserve">{2} sheet의 {1}행의 완료일이 날짜형식이 아닙니다. 정확한 날짜형식으로 입력하세요.</t>
  </si>
  <si>
    <t xml:space="preserve">The first column of Gantt area has been deleted. Please retry after changing the sheet to its previous state.</t>
  </si>
  <si>
    <t xml:space="preserve">Gantt영역의 첫번째 열이 삭제되었습니다. 원래대로 복구한 후 작업하세요.</t>
  </si>
  <si>
    <t xml:space="preserve">The following file formats are not supported. You can import files with version 0.9.7 or higher than 0.9.7.</t>
  </si>
  <si>
    <t xml:space="preserve">다음 파일은 지원하지 않는 형식입니다. XLGantt Version 0.9.7 이상 버전만 지원합니다.</t>
  </si>
  <si>
    <t xml:space="preserve">The following file formats are not supported. You can import the files if the version is 0.9.7 or higher than 0.9.7.</t>
  </si>
  <si>
    <t xml:space="preserve">다음의 XLGantt파일은 지원하지 않는 버전입니다. Version 0.9.7 이상 버전만 지원합니다.</t>
  </si>
  <si>
    <t xml:space="preserve">The following files have been successfully imported.</t>
  </si>
  <si>
    <t xml:space="preserve">다음 파일을 성공적으로 가져왔습니다.</t>
  </si>
  <si>
    <t xml:space="preserve">The following folder does not exist.</t>
  </si>
  <si>
    <t xml:space="preserve">다음의 폴더가 존재하지 않습니다.</t>
  </si>
  <si>
    <t xml:space="preserve">The format of "Calculation Base Date of Planned %Work Complete" is invalid.</t>
  </si>
  <si>
    <t xml:space="preserve">계획진척율 계산 기준일자의 날짜형식이 잘못되었습니다.</t>
  </si>
  <si>
    <t xml:space="preserve">The format of the project finish date is invalid.</t>
  </si>
  <si>
    <t xml:space="preserve">프로젝트 완료일의 날짜형식이 잘못되었습니다.</t>
  </si>
  <si>
    <t xml:space="preserve">The format of the project start date is invalid.</t>
  </si>
  <si>
    <t xml:space="preserve">프로젝트 시작일의 날짜형식이 잘못되었습니다.</t>
  </si>
  <si>
    <t xml:space="preserve">The job was not completed successfully.</t>
  </si>
  <si>
    <t xml:space="preserve">작업이 정상적으로 완료되지 않았습니다.</t>
  </si>
  <si>
    <t xml:space="preserve">The kind of period is invalid. You must enter one of the M(Months) or W(Weeks)</t>
  </si>
  <si>
    <t xml:space="preserve">기간의 종류가 잘못되었습니다. W(주), M(월) 중에 하나를 입력해야 합니다</t>
  </si>
  <si>
    <t xml:space="preserve">The language setting has been changed.\nPress the OK button to start translation. \nIt may take a long time to translate.\nHowever, translation of Ribbon menu and Popup menu takes effect after reopening this XLGantt file.</t>
  </si>
  <si>
    <t xml:space="preserve">언어설정이 변경되었습니다.\n확인버튼을 누르면 번역을 시작합니다. 번역은 시간이 걸릴 수 있습니다. \n리본메뉴, 팝업메뉴의 언어는 이 XLGantt파일을 닫은 후 새로 열어야 번역이 적용됩니다.</t>
  </si>
  <si>
    <t xml:space="preserve">The latest finish date({1}) of the tasks is later than the finish date({2}) of the project.\n\nIn this case, there may be problems with resource calculations. Please change the finish date to valid date.</t>
  </si>
  <si>
    <t xml:space="preserve">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</si>
  <si>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xml:space="preserve">The level of row {} is invalid.</t>
  </si>
  <si>
    <t xml:space="preserve">{} 행의 Level이 맞지 않습니다. Level을 1보다 크게 증가했는지 확인하세요.</t>
  </si>
  <si>
    <t xml:space="preserve">The number of Level must be less than or equal to {}</t>
  </si>
  <si>
    <t xml:space="preserve">Level의 갯수는 {}개까지만 가능합니다.</t>
  </si>
  <si>
    <t xml:space="preserve">The number of Level must be positive integer.</t>
  </si>
  <si>
    <t xml:space="preserve">Level의 갯수는 양의 정수만 가능합니다.</t>
  </si>
  <si>
    <t xml:space="preserve">The number of task columns is not 10. Please retry after changing the sheet to its previous state.</t>
  </si>
  <si>
    <t xml:space="preserve">Task열의 갯수가 10개가 아닙니다. 원래대로 복구한 후 작업하세요.</t>
  </si>
  <si>
    <t xml:space="preserve">The process was terminated due to the {} sheet error.</t>
  </si>
  <si>
    <t xml:space="preserve">{} sheet의 에러로 인해 작업이 중단되었습니다.</t>
  </si>
  <si>
    <t xml:space="preserve">The project finish date({}) you entered is not valid date format.</t>
  </si>
  <si>
    <t xml:space="preserve">입력한 프로젝트 기간의 완료일({})이 날짜형식이 아닙니다.</t>
  </si>
  <si>
    <t xml:space="preserve">The project start date({}) you entered is not valid date format.</t>
  </si>
  <si>
    <t xml:space="preserve">입력한 프로젝트 기간의 시작일({})이 날짜형식이 아닙니다</t>
  </si>
  <si>
    <t xml:space="preserve">The start date format of row number {1} in the {2} sheet is invalid.</t>
  </si>
  <si>
    <t xml:space="preserve">{2} sheet의 {1}행의 시작일이 날짜형식이 아닙니다. 정확한 날짜형식으로 입력하세요.</t>
  </si>
  <si>
    <t xml:space="preserve">The start date is later than the finish date.</t>
  </si>
  <si>
    <t xml:space="preserve">시작일이 완료일보다 큽니다.</t>
  </si>
  <si>
    <t xml:space="preserve">The start date of row number {1} in the {2} sheet is later than the finish date.</t>
  </si>
  <si>
    <t xml:space="preserve">{2} sheet의 {1}행의 시작일이 완료일보다 큽니다.</t>
  </si>
  <si>
    <t xml:space="preserve">The start or finish date of row number {1} in the {2} sheet is out of the project duration.</t>
  </si>
  <si>
    <t xml:space="preserve">{2} sheet의 {1}행의 시작일 또는 완료일이 프로젝트 기간을 벗어났습니다.</t>
  </si>
  <si>
    <t xml:space="preserve">The task of the first row of the {} sheet is not level 1.</t>
  </si>
  <si>
    <t xml:space="preserve">{} sheet 첫행의 작업이 1 Level이 아닙니다. 첫행의 작업이 첫째칸이 아닌 다른 칸에 입력되었는지 확인하세요.</t>
  </si>
  <si>
    <t xml:space="preserve">The type of task fields</t>
  </si>
  <si>
    <t xml:space="preserve">Task필드 유형</t>
  </si>
  <si>
    <t xml:space="preserve">The weight of row number {1} in the {2} sheet is not a number.</t>
  </si>
  <si>
    <t xml:space="preserve">{2} sheet의 {1}행의 가중치가 숫자가 아닙니다.</t>
  </si>
  <si>
    <t xml:space="preserve">There are no executable programs that open the deliverables.</t>
  </si>
  <si>
    <t xml:space="preserve">입력한 산출물을 열 수 있는 실행프로그램이 없습니다.</t>
  </si>
  <si>
    <t xml:space="preserve">There is an error in the total workload or planned workload field of row number {1} in the {2} sheet. Please check that the start / finish date was entered correctly, or that the formula is correct.</t>
  </si>
  <si>
    <t xml:space="preserve">{2} sheet의 {1}행의 총작업량 또는계획작업량 필드에 오류가 있습니다. 시작일/완료일이 잘못 입력되었는지 또는 수식에 문제가 없는지 확인하세요.</t>
  </si>
  <si>
    <t xml:space="preserve">There is no data in the following files</t>
  </si>
  <si>
    <t xml:space="preserve">다음 파일에 자료가 없습니다.</t>
  </si>
  <si>
    <t xml:space="preserve">There is no input data</t>
  </si>
  <si>
    <t xml:space="preserve">입력된 자료가 없습니다</t>
  </si>
  <si>
    <t xml:space="preserve">There is no input data that will be calculated.</t>
  </si>
  <si>
    <t xml:space="preserve">계산할 입력자료가 없습니다.</t>
  </si>
  <si>
    <t xml:space="preserve">There is no input data.</t>
  </si>
  <si>
    <t xml:space="preserve">입력된 자료가 없습니다.</t>
  </si>
  <si>
    <t xml:space="preserve">There is no input data. Please enter after reformatting.</t>
  </si>
  <si>
    <t xml:space="preserve">입력된 자료가 없습니다. 입력 후 서식재설정 해 주세요.</t>
  </si>
  <si>
    <t xml:space="preserve">There was an error in "Progress Line" drawing. This can happen if the actual start date or actual finish date is beyond the project period. Check the message below.</t>
  </si>
  <si>
    <t xml:space="preserve">진척율선 그리기 작업 중 에러가 발생했습니다. 실제시작일 또는 실제완료일이 프로젝트 기간을 벗어난 경우에 발생할 수 있습니다. 아래의 메시지를 확인하십시오.</t>
  </si>
  <si>
    <t xml:space="preserve">This area can not be selected. Please select an area that contains tasks.</t>
  </si>
  <si>
    <t xml:space="preserve">선택할 수 없는 영역입니다. 작업명이 입력된 행을 선택하세요.</t>
  </si>
  <si>
    <t xml:space="preserve">This Month only</t>
  </si>
  <si>
    <t xml:space="preserve">이번 달 작업만 조회</t>
  </si>
  <si>
    <t xml:space="preserve">This Week only</t>
  </si>
  <si>
    <t xml:space="preserve">이번 주 작업만 조회</t>
  </si>
  <si>
    <t xml:space="preserve">This XLGantt is not the latest version. Download the latest version from the following site.</t>
  </si>
  <si>
    <t xml:space="preserve">지금 사용하고 계신 XLGantt는 최신버전이 아닙니다.\n_x005F_x000D_
최신버전을 아래의 사이트에서 다운로드 받으세요.</t>
  </si>
  <si>
    <t xml:space="preserve">Thu</t>
  </si>
  <si>
    <t xml:space="preserve">목</t>
  </si>
  <si>
    <t xml:space="preserve">Time bucket type is invalid.</t>
  </si>
  <si>
    <t xml:space="preserve">Time bucket type 오류입니다.</t>
  </si>
  <si>
    <t xml:space="preserve">To (XLGantt)</t>
  </si>
  <si>
    <t xml:space="preserve">Target파일(가져온 후 파일)</t>
  </si>
  <si>
    <t xml:space="preserve">To Date is invalid.</t>
  </si>
  <si>
    <t xml:space="preserve">끝날짜 형식이 잘못되었습니다.</t>
  </si>
  <si>
    <t xml:space="preserve">To import files from source to the target file, map the respective fields.\nSelect a field in source file first and then find a corresponding field in the target file.</t>
  </si>
  <si>
    <t xml:space="preserve">Source파일에서 Target파일로 가져오기 위해서 각각의 필드를 Mapping합니다. _x005F_x000D_
Source파일의 필드를 먼저 선택하고 해당되는 필드를 Targe파일에서 찾아서 Mapping합니다.</t>
  </si>
  <si>
    <t xml:space="preserve">Today</t>
  </si>
  <si>
    <t xml:space="preserve">오늘</t>
  </si>
  <si>
    <t xml:space="preserve">Today only</t>
  </si>
  <si>
    <t xml:space="preserve">오늘 작업만 조회</t>
  </si>
  <si>
    <t xml:space="preserve">Total Work(A)\nMan-day</t>
  </si>
  <si>
    <t xml:space="preserve">총작업량(A)\nMan-day</t>
  </si>
  <si>
    <t xml:space="preserve">Total Work\n(Total ManDay)</t>
  </si>
  <si>
    <t xml:space="preserve">총 작업량_x005F_x000D_
(총ManDay,_x005F_x000D_
가중치 감안)</t>
  </si>
  <si>
    <t xml:space="preserve">Total workload of the project</t>
  </si>
  <si>
    <t xml:space="preserve">Total__Duration</t>
  </si>
  <si>
    <t xml:space="preserve">총__기간</t>
  </si>
  <si>
    <t xml:space="preserve">Total__Work</t>
  </si>
  <si>
    <t xml:space="preserve">총__작업량</t>
  </si>
  <si>
    <t xml:space="preserve">Total\nDuration</t>
  </si>
  <si>
    <t xml:space="preserve">총\n기간</t>
  </si>
  <si>
    <t xml:space="preserve">Total\nWork</t>
  </si>
  <si>
    <t xml:space="preserve">총\n작업량</t>
  </si>
  <si>
    <t xml:space="preserve">Tue</t>
  </si>
  <si>
    <t xml:space="preserve">화</t>
  </si>
  <si>
    <t xml:space="preserve">Type a number between 0% and 100% in "%Work Complete" field of row number {1} in the {2} sheet.</t>
  </si>
  <si>
    <t xml:space="preserve">{2} sheet의 {1}행의 실적진척율을 0~100% 범위로 입력해주세요.</t>
  </si>
  <si>
    <t xml:space="preserve">UI Design</t>
  </si>
  <si>
    <t xml:space="preserve">화면설계</t>
  </si>
  <si>
    <t xml:space="preserve">Unable to open file. Please change the "Check if you save deliverables in specific directory" option to the checked state in the Setting&gt;Deliverables tab.</t>
  </si>
  <si>
    <t xml:space="preserve">파일을 열수 없습니다. 환경설정&gt;산출물관리 탭에서 "산출물 관리를 할 경우에 체크하세요" 옵션을 체크상태로 변경해 주세요.</t>
  </si>
  <si>
    <t xml:space="preserve">Update Schedule</t>
  </si>
  <si>
    <t xml:space="preserve">스케줄\n업데이트</t>
  </si>
  <si>
    <t xml:space="preserve">Updates</t>
  </si>
  <si>
    <t xml:space="preserve">업데이트 내용</t>
  </si>
  <si>
    <t xml:space="preserve">Updating schedule... \nplease wait...</t>
  </si>
  <si>
    <t xml:space="preserve">스케줄업데이트 중입니다...\n잠시만 기다려 주세요...</t>
  </si>
  <si>
    <t xml:space="preserve">User Defined Calendar 1</t>
  </si>
  <si>
    <t xml:space="preserve">사용자정의 캘린더1</t>
  </si>
  <si>
    <t xml:space="preserve">User Defined Calendar 2</t>
  </si>
  <si>
    <t xml:space="preserve">사용자정의 캘린더2</t>
  </si>
  <si>
    <t xml:space="preserve">Variance(Actual-Planned)</t>
  </si>
  <si>
    <t xml:space="preserve">차이(실적-계획)</t>
  </si>
  <si>
    <t xml:space="preserve">WBS Area Display</t>
  </si>
  <si>
    <t xml:space="preserve">WBS영역 표시방법</t>
  </si>
  <si>
    <t xml:space="preserve">WBS Level is invalid. Enter a number only. Verify row {} of the source file.</t>
  </si>
  <si>
    <t xml:space="preserve">WBS Level(개요번호)에 숫자가 아닌 값이 포함되어 있습니다. Import하는 파일의 {}행을 확인하세요.</t>
  </si>
  <si>
    <t xml:space="preserve">WBS No.</t>
  </si>
  <si>
    <t xml:space="preserve">WBS,Gantt Chart</t>
  </si>
  <si>
    <t xml:space="preserve">Wed</t>
  </si>
  <si>
    <t xml:space="preserve">수</t>
  </si>
  <si>
    <t xml:space="preserve">Weekly</t>
  </si>
  <si>
    <t xml:space="preserve">주별</t>
  </si>
  <si>
    <t xml:space="preserve">Weekly view</t>
  </si>
  <si>
    <t xml:space="preserve">주별보기</t>
  </si>
  <si>
    <t xml:space="preserve">Weeks</t>
  </si>
  <si>
    <t xml:space="preserve">Weight</t>
  </si>
  <si>
    <t xml:space="preserve">Weight is invalid.</t>
  </si>
  <si>
    <t xml:space="preserve">가중치의 숫자형식이 잘못되었습니다.</t>
  </si>
  <si>
    <t xml:space="preserve">Weight must be greater than zero.</t>
  </si>
  <si>
    <t xml:space="preserve">가중치는 0보다 커야 합니다.</t>
  </si>
  <si>
    <t xml:space="preserve">Word</t>
  </si>
  <si>
    <t xml:space="preserve">Workload\n(Man-Day)</t>
  </si>
  <si>
    <t xml:space="preserve">Workload\n(Man-Month)</t>
  </si>
  <si>
    <t xml:space="preserve">Workloads by {}</t>
  </si>
  <si>
    <t xml:space="preserve">Workload현황({})</t>
  </si>
  <si>
    <t xml:space="preserve">Workloads by Months</t>
  </si>
  <si>
    <t xml:space="preserve">Workload(월별)</t>
  </si>
  <si>
    <t xml:space="preserve">Workloads by Resouces</t>
  </si>
  <si>
    <t xml:space="preserve">Workload(담당별)</t>
  </si>
  <si>
    <t xml:space="preserve">Workloads by Weeks</t>
  </si>
  <si>
    <t xml:space="preserve">Workload(주별)</t>
  </si>
  <si>
    <t xml:space="preserve">Worloads by Resources</t>
  </si>
  <si>
    <t xml:space="preserve">Would you like to update the schedule before saving?</t>
  </si>
  <si>
    <t xml:space="preserve">저장하기 전에 스케줄을 업데이트하시겠습니까?\n\n[스케줄업데이트]메뉴를 클릭할 때와 동일한 작업을 수행합니다.</t>
  </si>
  <si>
    <t xml:space="preserve">XLGantt Version Check</t>
  </si>
  <si>
    <t xml:space="preserve">You are using the latest version of XLGantt.\nCurrent Verison : {}</t>
  </si>
  <si>
    <t xml:space="preserve">사용하고 계신 XLGantt는 최신 버전입니다.\n현재 버전 : {}</t>
  </si>
  <si>
    <t xml:space="preserve">You can add "Outlook Appointments" only on the {} sheet.</t>
  </si>
  <si>
    <t xml:space="preserve">{} Sheet에서만 Outlook일정을 등록할 수 있습니다.</t>
  </si>
  <si>
    <t xml:space="preserve">You can add "Outlook Tasks" only on the {} sheet.</t>
  </si>
  <si>
    <t xml:space="preserve">{} Sheet에서만 Outlook작업을 등록할 수 있습니다.</t>
  </si>
  <si>
    <t xml:space="preserve">You can edit task only on the {} sheet.</t>
  </si>
  <si>
    <t xml:space="preserve">{} Sheet에서만 작업을 편집할 수 있습니다.</t>
  </si>
  <si>
    <t xml:space="preserve">You can indent or outdent tasks only on the {} sheet.</t>
  </si>
  <si>
    <t xml:space="preserve">{} Sheet에서만 작업가능합니다.</t>
  </si>
  <si>
    <t xml:space="preserve">You can not add "Outlook Appointments" in the selected area.</t>
  </si>
  <si>
    <t xml:space="preserve">선택한 위치에서는 작업할 수 없습니다.</t>
  </si>
  <si>
    <t xml:space="preserve">You can not add "Outlook Tasks" in the selected area.</t>
  </si>
  <si>
    <t xml:space="preserve">선택한 위치에서는 Outlook작업을 등록할 수 없습니다.</t>
  </si>
  <si>
    <t xml:space="preserve">You can not add a column between column A and C because the range is reserved by XLGantt.</t>
  </si>
  <si>
    <t xml:space="preserve">A열부터 C열까지는 XLGantt프로그램에서 사용하는 영역이므로 임의로 열을 추가할 수 없습니다.</t>
  </si>
  <si>
    <t xml:space="preserve">You can not edit a task in the selected area.</t>
  </si>
  <si>
    <t xml:space="preserve">You can not enter any more.</t>
  </si>
  <si>
    <t xml:space="preserve">You can not indent any more!</t>
  </si>
  <si>
    <t xml:space="preserve">더 이상 오른쪽으로 이동할 수 없습니다!</t>
  </si>
  <si>
    <t xml:space="preserve">You can not indent or outdent the selected row.</t>
  </si>
  <si>
    <t xml:space="preserve">선택한 위치에서는 이동할 수 없습니다.</t>
  </si>
  <si>
    <t xml:space="preserve">You can not outdent any more!</t>
  </si>
  <si>
    <t xml:space="preserve">더 이상 왼쪽으로 이동할 수 없습니다!</t>
  </si>
  <si>
    <t xml:space="preserve">You can not use "Microsoft Outlook". \nMake sure you properly installed it.</t>
  </si>
  <si>
    <t xml:space="preserve">Microsoft Outlook을 사용할 수 없습니다.\n정상적으로 설치되어 있는지 확인하세요.</t>
  </si>
  <si>
    <t xml:space="preserve">You can open deliverables only on the {} Sheet.</t>
  </si>
  <si>
    <t xml:space="preserve">You can use only start and finish dates. So you can not manage schedule changes.</t>
  </si>
  <si>
    <t xml:space="preserve">일정을 관리할 때 작업 시작일/완료일만 사용합니다. 변경된 일정은 관리하지 않습니다. 일정이 변경되었을 때는 시작일과 완료일을 변경합니다.  </t>
  </si>
  <si>
    <t xml:space="preserve">You can use start and finish dates, actual start and finish dates. You can identify the schedule is delayed or aheaded by entering actual start and finish dates.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</si>
  <si>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</si>
  <si>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 xml:space="preserve">You can't choose a field that is empty.</t>
  </si>
  <si>
    <t xml:space="preserve">필드명이 비어있는 항목은 선택할 수 없습니다.</t>
  </si>
  <si>
    <t xml:space="preserve">You can't import an Excel Macro file. Please import after saving it as an xls or xlsx file. If it is an XLGantt file, you can import it at the menu "Import files created in XLGantt"</t>
  </si>
  <si>
    <t xml:space="preserve">엑셀매크로 파일은 가져오기를 할 수 없습니다. xls 또는 xlsx파일로 저장하여 작업하시기 바랍니다. 만약 XLGantt파일인 경우에는 "XLGantt로 작성된 파일 가져오기"에서 작업 가능합니다</t>
  </si>
  <si>
    <t xml:space="preserve">You can't remove the default languages(English and Korean).</t>
  </si>
  <si>
    <t xml:space="preserve">기본언어인 English와 Korean은 삭제할 수 없습니다.</t>
  </si>
  <si>
    <t xml:space="preserve">You didn't choose a language.</t>
  </si>
  <si>
    <t xml:space="preserve">언어가 선택되지 않았습니다.</t>
  </si>
  <si>
    <t xml:space="preserve">You didn't choose a source field.</t>
  </si>
  <si>
    <t xml:space="preserve">Source항목이 선택되지 않았습니다.</t>
  </si>
  <si>
    <t xml:space="preserve">You didn't choose a target field.</t>
  </si>
  <si>
    <t xml:space="preserve">Target항목이 선택되지 않았습니다.</t>
  </si>
  <si>
    <t xml:space="preserve">You didn't choose an unmap item.</t>
  </si>
  <si>
    <t xml:space="preserve">Mapping취소항목이 선택되지 않았습니다.</t>
  </si>
  <si>
    <t xml:space="preserve">You selected {} areas. Please select only one area.</t>
  </si>
  <si>
    <t xml:space="preserve">한곳만 선택하세요. 현재 {}곳이 선택되었습니다.</t>
  </si>
  <si>
    <t xml:space="preserve">Group rows</t>
  </si>
  <si>
    <t xml:space="preserve">작업을 그룹으로 묶기</t>
  </si>
  <si>
    <t xml:space="preserve">Group rows(Max 8 Levels)</t>
  </si>
  <si>
    <t xml:space="preserve">작업을 그룹으로 묶기(최대 8 레벨)</t>
  </si>
  <si>
    <t xml:space="preserve">Calculation Options</t>
  </si>
  <si>
    <t xml:space="preserve">계산 옵션</t>
  </si>
  <si>
    <t xml:space="preserve">Automatic</t>
  </si>
  <si>
    <t xml:space="preserve">자동</t>
  </si>
  <si>
    <t xml:space="preserve">Automatic Except for Data Tables</t>
  </si>
  <si>
    <t xml:space="preserve">데이터 표만 수동</t>
  </si>
  <si>
    <t xml:space="preserve">Manual</t>
  </si>
  <si>
    <t xml:space="preserve">수동</t>
  </si>
  <si>
    <t xml:space="preserve">for importOnStartup</t>
  </si>
  <si>
    <t xml:space="preserve">Total Work</t>
  </si>
  <si>
    <t xml:space="preserve">총작업량</t>
  </si>
  <si>
    <t xml:space="preserve">Planned Work</t>
  </si>
  <si>
    <t xml:space="preserve">계획작업량</t>
  </si>
  <si>
    <t xml:space="preserve">Total Duration</t>
  </si>
  <si>
    <t xml:space="preserve">총기간</t>
  </si>
  <si>
    <t xml:space="preserve">Planned Duration</t>
  </si>
  <si>
    <t xml:space="preserve">계획기간</t>
  </si>
  <si>
    <t xml:space="preserve">Actual Total Work</t>
  </si>
  <si>
    <t xml:space="preserve">실제총작업량</t>
  </si>
  <si>
    <t xml:space="preserve">Actual Total Duration</t>
  </si>
  <si>
    <t xml:space="preserve">실제총기간</t>
  </si>
  <si>
    <t xml:space="preserve">Planned %Work Complete</t>
  </si>
  <si>
    <t xml:space="preserve">Invalid field name!</t>
  </si>
  <si>
    <t xml:space="preserve">필드명이 잘못되었습니다!</t>
  </si>
  <si>
    <t xml:space="preserve">No data to import.</t>
  </si>
  <si>
    <t xml:space="preserve">가져올 데이터가 없습니다.</t>
  </si>
  <si>
    <t xml:space="preserve">Import file format Error! Range A1 should contain "xlgantt_reserved" string.</t>
  </si>
  <si>
    <t xml:space="preserve">가져오는 파일의 포맷이 잘못되었습니다. A1셀에는 "xlgantt_reserved"가 입력되어 있어야 합니다.</t>
  </si>
  <si>
    <t xml:space="preserve">Import has already been completed.</t>
  </si>
  <si>
    <t xml:space="preserve">가져오기가 이미 완료되었습니다.</t>
  </si>
  <si>
    <t xml:space="preserve">Import file format Error! Range A2 should contain the import result.</t>
  </si>
  <si>
    <t xml:space="preserve">가져오는 파일의 포맷이 잘못되었습니다. A2셀에는 가져오기 결과가 입력되어 있어야 합니다.</t>
  </si>
  <si>
    <t xml:space="preserve">Successfully imported.</t>
  </si>
  <si>
    <t xml:space="preserve">가져오기가 정상적으로 완료되었습니다.</t>
  </si>
  <si>
    <t xml:space="preserve">Import  Data of "ServerData" sheet on Startup </t>
  </si>
  <si>
    <t xml:space="preserve">프로그램 시작 시 "ServerData" 시트의 데이터 가져오기</t>
  </si>
  <si>
    <t xml:space="preserve">Recalculate WBS area after import</t>
  </si>
  <si>
    <t xml:space="preserve">가져오기 후 WBS영역 재계산</t>
  </si>
  <si>
    <t xml:space="preserve">Do not recalculate WBS area after import</t>
  </si>
  <si>
    <t xml:space="preserve">가져오기 후 WBS영역 재계산 안함</t>
  </si>
  <si>
    <t xml:space="preserve">Number of "Task" columns(Max 20)</t>
  </si>
  <si>
    <t xml:space="preserve">"작업"열의 개수(최대 20개)</t>
  </si>
  <si>
    <t xml:space="preserve">Import from Server</t>
  </si>
  <si>
    <t xml:space="preserve">서버에서\n가져오기</t>
  </si>
  <si>
    <t xml:space="preserve">Choose what to do after Importing Server Data</t>
  </si>
  <si>
    <t xml:space="preserve">서버데이터 가져온 후 수행할 작업 선택</t>
  </si>
  <si>
    <t xml:space="preserve">for Week Number</t>
  </si>
  <si>
    <t xml:space="preserve">System 1</t>
  </si>
  <si>
    <t xml:space="preserve">체계 1</t>
  </si>
  <si>
    <t xml:space="preserve">System 2</t>
  </si>
  <si>
    <t xml:space="preserve">체계 2</t>
  </si>
  <si>
    <t xml:space="preserve">Week Numbers Display</t>
  </si>
  <si>
    <t xml:space="preserve">주차 표시방식</t>
  </si>
  <si>
    <t xml:space="preserve">The week containing January 1 is the first week of the year.</t>
  </si>
  <si>
    <t xml:space="preserve">1월 1일을 포함하는 주가 년도의 첫주가 되는 방식</t>
  </si>
  <si>
    <t xml:space="preserve">The week containing the first Thursday of the year is the first week of the year(ISO 8601 Standard).</t>
  </si>
  <si>
    <t xml:space="preserve">한주의 시작은 월요일이며 년도의 첫번째 목요일을 포함하는 주가 첫주가 되는 방식(ISO 8601 표준)</t>
  </si>
  <si>
    <t xml:space="preserve">None</t>
  </si>
  <si>
    <t xml:space="preserve">표시 안함</t>
  </si>
  <si>
    <t xml:space="preserve">Earned Value(Man-Day)</t>
  </si>
  <si>
    <t xml:space="preserve">실적기성(Man-Day)</t>
  </si>
  <si>
    <t xml:space="preserve">Earned Value Accumulated(Man-Day)</t>
  </si>
  <si>
    <t xml:space="preserve">실적기성 누적(Man-Day)</t>
  </si>
  <si>
    <t xml:space="preserve">Earned Value Progress</t>
  </si>
  <si>
    <t xml:space="preserve">Actual Workload(Man-Day)</t>
  </si>
  <si>
    <t xml:space="preserve">실제작업량(Man-Day)</t>
  </si>
  <si>
    <t xml:space="preserve">Actual Workload Accumulated(Man-Day)</t>
  </si>
  <si>
    <t xml:space="preserve">실제작업량 누적(Man-Day)</t>
  </si>
  <si>
    <t xml:space="preserve">Actual Workload Progress</t>
  </si>
  <si>
    <t xml:space="preserve">Planned Workload Progress</t>
  </si>
  <si>
    <t xml:space="preserve">Progress by Weeks</t>
  </si>
  <si>
    <t xml:space="preserve">진척율(주별)</t>
  </si>
  <si>
    <t xml:space="preserve">Progress by Months</t>
  </si>
  <si>
    <t xml:space="preserve">진척율(월별)</t>
  </si>
  <si>
    <t xml:space="preserve">Workloads</t>
  </si>
  <si>
    <t xml:space="preserve">Workload Data</t>
  </si>
  <si>
    <t xml:space="preserve">Create Workload Data by Weeks</t>
  </si>
  <si>
    <t xml:space="preserve">Workload Data생성(주별)</t>
  </si>
  <si>
    <t xml:space="preserve">Create Workload Data by Months</t>
  </si>
  <si>
    <t xml:space="preserve">Workload Data생성(월별)</t>
  </si>
  <si>
    <t xml:space="preserve">Earned value on planned schedule(Total Duration x %Work Complete)</t>
  </si>
  <si>
    <t xml:space="preserve">실적기성(총기간 x 총실적진행율)</t>
  </si>
  <si>
    <t xml:space="preserve">wbsLevel</t>
  </si>
  <si>
    <t xml:space="preserve">wbs</t>
  </si>
  <si>
    <t xml:space="preserve">wbsLevel01</t>
  </si>
  <si>
    <t xml:space="preserve">wbsLevel02</t>
  </si>
  <si>
    <t xml:space="preserve">wbsLevel03</t>
  </si>
  <si>
    <t xml:space="preserve">wbsLevel04</t>
  </si>
  <si>
    <t xml:space="preserve">wbsLevel05</t>
  </si>
  <si>
    <t xml:space="preserve">wbsLevel06</t>
  </si>
  <si>
    <t xml:space="preserve">wbsLevel07</t>
  </si>
  <si>
    <t xml:space="preserve">wbsLevel08</t>
  </si>
  <si>
    <t xml:space="preserve">wbsLevel09</t>
  </si>
  <si>
    <t xml:space="preserve">wbsLevel10</t>
  </si>
  <si>
    <t xml:space="preserve">start</t>
  </si>
  <si>
    <t xml:space="preserve">finish</t>
  </si>
  <si>
    <t xml:space="preserve">timebucketStart</t>
  </si>
  <si>
    <t xml:space="preserve">timebucketFinish</t>
  </si>
  <si>
    <t xml:space="preserve">weekNumber</t>
  </si>
  <si>
    <t xml:space="preserve">totalWorkload</t>
  </si>
  <si>
    <t xml:space="preserve">planWorkload</t>
  </si>
  <si>
    <t xml:space="preserve">resourceWeight</t>
  </si>
  <si>
    <t xml:space="preserve">planRate</t>
  </si>
  <si>
    <t xml:space="preserve">actualRate</t>
  </si>
  <si>
    <t xml:space="preserve">actualStart</t>
  </si>
  <si>
    <t xml:space="preserve">actualFinish</t>
  </si>
  <si>
    <t xml:space="preserve">earnedValue</t>
  </si>
  <si>
    <t xml:space="preserve">actualWorkload</t>
  </si>
  <si>
    <t xml:space="preserve">3</t>
  </si>
  <si>
    <t xml:space="preserve">4</t>
  </si>
  <si>
    <t xml:space="preserve">6</t>
  </si>
  <si>
    <t xml:space="preserve">5</t>
  </si>
  <si>
    <t xml:space="preserve">xlgantt_reserved</t>
  </si>
  <si>
    <t xml:space="preserve">project_information</t>
  </si>
  <si>
    <t xml:space="preserve">xlgantt_task_connection</t>
  </si>
  <si>
    <t xml:space="preserve">xlgantt_task_id</t>
  </si>
  <si>
    <t xml:space="preserve">__확인사항</t>
  </si>
  <si>
    <t xml:space="preserve">XYZ시스템 구축</t>
  </si>
  <si>
    <t xml:space="preserve">1;3;4;0;1</t>
  </si>
  <si>
    <t xml:space="preserve">Project X</t>
  </si>
  <si>
    <t xml:space="preserve">2;4;8;0;1</t>
  </si>
  <si>
    <t xml:space="preserve">3;5;6;0;0</t>
  </si>
  <si>
    <t xml:space="preserve">범위정의</t>
  </si>
  <si>
    <t xml:space="preserve">4;8;9;0;1</t>
  </si>
  <si>
    <t xml:space="preserve">범위확정</t>
  </si>
  <si>
    <t xml:space="preserve">범위확정시 주요화면 준비</t>
  </si>
  <si>
    <t xml:space="preserve">5;7;11;0;1</t>
  </si>
  <si>
    <t xml:space="preserve">1.1.3</t>
  </si>
  <si>
    <t xml:space="preserve">Benchmarking</t>
  </si>
  <si>
    <t xml:space="preserve">6;11;12;0;1</t>
  </si>
  <si>
    <t xml:space="preserve">1.1.4</t>
  </si>
  <si>
    <t xml:space="preserve">Workshop</t>
  </si>
  <si>
    <t xml:space="preserve">7;10;14;0;1</t>
  </si>
  <si>
    <t xml:space="preserve">7</t>
  </si>
  <si>
    <t xml:space="preserve">8;14;15;0;1</t>
  </si>
  <si>
    <t xml:space="preserve">8</t>
  </si>
  <si>
    <t xml:space="preserve">데이터베이스 설계</t>
  </si>
  <si>
    <t xml:space="preserve">9;15;16;0;1</t>
  </si>
  <si>
    <t xml:space="preserve">9</t>
  </si>
  <si>
    <t xml:space="preserve">UI설계</t>
  </si>
  <si>
    <t xml:space="preserve">10</t>
  </si>
  <si>
    <t xml:space="preserve">11</t>
  </si>
  <si>
    <t xml:space="preserve">코딩</t>
  </si>
  <si>
    <t xml:space="preserve">12</t>
  </si>
  <si>
    <t xml:space="preserve">단위테스트</t>
  </si>
  <si>
    <t xml:space="preserve">13</t>
  </si>
  <si>
    <t xml:space="preserve">1.4</t>
  </si>
  <si>
    <t xml:space="preserve">테스트</t>
  </si>
  <si>
    <t xml:space="preserve">14</t>
  </si>
  <si>
    <t xml:space="preserve">1.4.1</t>
  </si>
  <si>
    <t xml:space="preserve">통합테스트</t>
  </si>
  <si>
    <t xml:space="preserve">15</t>
  </si>
  <si>
    <t xml:space="preserve">1.4.2</t>
  </si>
  <si>
    <t xml:space="preserve">시스템테스트</t>
  </si>
  <si>
    <t xml:space="preserve">성능테스트Tool필요</t>
  </si>
  <si>
    <t xml:space="preserve">16</t>
  </si>
  <si>
    <t xml:space="preserve">1.4.3</t>
  </si>
  <si>
    <t xml:space="preserve">UAT</t>
  </si>
</sst>
</file>

<file path=xl/styles.xml><?xml version="1.0" encoding="utf-8"?>
<styleSheet xmlns="http://schemas.openxmlformats.org/spreadsheetml/2006/main">
  <numFmts count="12">
    <numFmt numFmtId="164" formatCode="General"/>
    <numFmt numFmtId="165" formatCode="0%"/>
    <numFmt numFmtId="166" formatCode="[$-412]YYYY\-MM\-DD"/>
    <numFmt numFmtId="167" formatCode="0"/>
    <numFmt numFmtId="168" formatCode="[$-412]YYYY\-MM\-DD\ H:MM"/>
    <numFmt numFmtId="169" formatCode="0_);[RED]\(0\)"/>
    <numFmt numFmtId="170" formatCode="0.0"/>
    <numFmt numFmtId="171" formatCode="0.0_);[RED]\(0.0\)"/>
    <numFmt numFmtId="172" formatCode="0.00%"/>
    <numFmt numFmtId="173" formatCode="General"/>
    <numFmt numFmtId="174" formatCode="DD"/>
    <numFmt numFmtId="175" formatCode="0.00_);[RED]\(0.00\)"/>
  </numFmts>
  <fonts count="75">
    <font>
      <sz val="11"/>
      <color rgb="FF000000"/>
      <name val="맑은 고딕"/>
      <family val="2"/>
      <charset val="1"/>
    </font>
    <font>
      <sz val="10"/>
      <name val="Arial"/>
      <family val="0"/>
      <charset val="129"/>
    </font>
    <font>
      <sz val="10"/>
      <name val="Arial"/>
      <family val="0"/>
      <charset val="129"/>
    </font>
    <font>
      <sz val="10"/>
      <name val="Arial"/>
      <family val="0"/>
      <charset val="129"/>
    </font>
    <font>
      <sz val="10"/>
      <color rgb="FFFFFFFF"/>
      <name val="맑은 고딕"/>
      <family val="2"/>
      <charset val="129"/>
    </font>
    <font>
      <sz val="11"/>
      <name val="돋움"/>
      <family val="3"/>
      <charset val="129"/>
    </font>
    <font>
      <sz val="11"/>
      <color rgb="FF000000"/>
      <name val="맑은 고딕"/>
      <family val="3"/>
      <charset val="129"/>
    </font>
    <font>
      <sz val="10"/>
      <name val="돋움"/>
      <family val="3"/>
      <charset val="129"/>
    </font>
    <font>
      <sz val="10"/>
      <name val="Calibri"/>
      <family val="2"/>
      <charset val="1"/>
    </font>
    <font>
      <sz val="10"/>
      <color rgb="FF000000"/>
      <name val="Calibri"/>
      <family val="2"/>
      <charset val="1"/>
    </font>
    <font>
      <sz val="12"/>
      <name val="맑은 고딕"/>
      <family val="3"/>
      <charset val="129"/>
    </font>
    <font>
      <b val="true"/>
      <sz val="18"/>
      <color rgb="FF000000"/>
      <name val="맑은 고딕"/>
      <family val="3"/>
      <charset val="129"/>
    </font>
    <font>
      <b val="true"/>
      <u val="single"/>
      <sz val="12"/>
      <color rgb="FFFF8800"/>
      <name val="맑은 고딕"/>
      <family val="3"/>
      <charset val="129"/>
    </font>
    <font>
      <u val="single"/>
      <sz val="11"/>
      <color rgb="FF0563C1"/>
      <name val="돋움"/>
      <family val="3"/>
      <charset val="129"/>
    </font>
    <font>
      <b val="true"/>
      <sz val="11"/>
      <color rgb="FF0000FF"/>
      <name val="맑은 고딕"/>
      <family val="3"/>
      <charset val="129"/>
    </font>
    <font>
      <sz val="10"/>
      <name val="맑은 고딕"/>
      <family val="3"/>
      <charset val="129"/>
    </font>
    <font>
      <b val="true"/>
      <sz val="14"/>
      <color rgb="FF000000"/>
      <name val="맑은 고딕"/>
      <family val="3"/>
      <charset val="129"/>
    </font>
    <font>
      <b val="true"/>
      <sz val="11"/>
      <color rgb="FF000000"/>
      <name val="맑은 고딕"/>
      <family val="3"/>
      <charset val="129"/>
    </font>
    <font>
      <b val="true"/>
      <u val="single"/>
      <sz val="11"/>
      <color rgb="FFFFFFFF"/>
      <name val="맑은 고딕"/>
      <family val="3"/>
      <charset val="129"/>
    </font>
    <font>
      <sz val="11"/>
      <name val="맑은 고딕"/>
      <family val="3"/>
      <charset val="129"/>
    </font>
    <font>
      <b val="true"/>
      <sz val="11"/>
      <color rgb="FFFFFFFF"/>
      <name val="맑은 고딕"/>
      <family val="3"/>
      <charset val="129"/>
    </font>
    <font>
      <b val="true"/>
      <sz val="12"/>
      <color rgb="FF000000"/>
      <name val="맑은 고딕"/>
      <family val="3"/>
      <charset val="129"/>
    </font>
    <font>
      <b val="true"/>
      <u val="single"/>
      <sz val="11"/>
      <color rgb="FF0563C1"/>
      <name val="맑은 고딕"/>
      <family val="3"/>
      <charset val="129"/>
    </font>
    <font>
      <u val="single"/>
      <sz val="11"/>
      <color rgb="FF0563C1"/>
      <name val="맑은 고딕"/>
      <family val="3"/>
      <charset val="129"/>
    </font>
    <font>
      <sz val="11"/>
      <color rgb="FF333333"/>
      <name val="맑은 고딕"/>
      <family val="3"/>
      <charset val="129"/>
    </font>
    <font>
      <sz val="9"/>
      <name val="돋움"/>
      <family val="3"/>
      <charset val="129"/>
    </font>
    <font>
      <sz val="9"/>
      <name val="맑은 고딕"/>
      <family val="2"/>
      <charset val="1"/>
    </font>
    <font>
      <b val="true"/>
      <sz val="16"/>
      <color rgb="FF0070C0"/>
      <name val="맑은 고딕"/>
      <family val="2"/>
      <charset val="129"/>
    </font>
    <font>
      <b val="true"/>
      <sz val="12"/>
      <color rgb="FF0070C0"/>
      <name val="맑은 고딕"/>
      <family val="2"/>
      <charset val="129"/>
    </font>
    <font>
      <b val="true"/>
      <sz val="14"/>
      <color rgb="FF0070C0"/>
      <name val="Calibri"/>
      <family val="2"/>
      <charset val="1"/>
    </font>
    <font>
      <b val="true"/>
      <sz val="14"/>
      <color rgb="FF0070C0"/>
      <name val="맑은 고딕"/>
      <family val="2"/>
      <charset val="129"/>
    </font>
    <font>
      <sz val="11"/>
      <color rgb="FF0070C0"/>
      <name val="맑은 고딕"/>
      <family val="2"/>
      <charset val="129"/>
    </font>
    <font>
      <b val="true"/>
      <sz val="10"/>
      <color rgb="FF0070C0"/>
      <name val="맑은 고딕"/>
      <family val="2"/>
      <charset val="129"/>
    </font>
    <font>
      <b val="true"/>
      <sz val="10"/>
      <color rgb="FF0070C0"/>
      <name val="돋움"/>
      <family val="3"/>
      <charset val="129"/>
    </font>
    <font>
      <b val="true"/>
      <sz val="12"/>
      <color rgb="FF0070C0"/>
      <name val="돋움"/>
      <family val="3"/>
      <charset val="129"/>
    </font>
    <font>
      <b val="true"/>
      <sz val="12"/>
      <color rgb="FF0070C0"/>
      <name val="Calibri"/>
      <family val="2"/>
      <charset val="1"/>
    </font>
    <font>
      <b val="true"/>
      <sz val="14"/>
      <color rgb="FFFF8800"/>
      <name val="돋움"/>
      <family val="3"/>
      <charset val="129"/>
    </font>
    <font>
      <b val="true"/>
      <sz val="16"/>
      <name val="맑은 고딕"/>
      <family val="2"/>
      <charset val="129"/>
    </font>
    <font>
      <b val="true"/>
      <sz val="16"/>
      <color rgb="FF595959"/>
      <name val="맑은 고딕"/>
      <family val="2"/>
      <charset val="129"/>
    </font>
    <font>
      <b val="true"/>
      <sz val="12"/>
      <color rgb="FF595959"/>
      <name val="맑은 고딕"/>
      <family val="2"/>
      <charset val="129"/>
    </font>
    <font>
      <sz val="9"/>
      <color rgb="FF595959"/>
      <name val="맑은 고딕"/>
      <family val="2"/>
      <charset val="1"/>
    </font>
    <font>
      <sz val="9"/>
      <color rgb="FF595959"/>
      <name val="돋움"/>
      <family val="3"/>
      <charset val="129"/>
    </font>
    <font>
      <b val="true"/>
      <sz val="9"/>
      <color rgb="FF595959"/>
      <name val="돋움"/>
      <family val="3"/>
      <charset val="129"/>
    </font>
    <font>
      <b val="true"/>
      <sz val="9"/>
      <color rgb="FFFF8800"/>
      <name val="맑은 고딕"/>
      <family val="2"/>
      <charset val="129"/>
    </font>
    <font>
      <b val="true"/>
      <sz val="9"/>
      <color rgb="FFFF8800"/>
      <name val="Calibri"/>
      <family val="2"/>
      <charset val="1"/>
    </font>
    <font>
      <sz val="9"/>
      <color rgb="FFFFFFFF"/>
      <name val="Calibri"/>
      <family val="2"/>
      <charset val="1"/>
    </font>
    <font>
      <sz val="9"/>
      <color rgb="FFFFFFFF"/>
      <name val="돋움"/>
      <family val="3"/>
      <charset val="129"/>
    </font>
    <font>
      <sz val="9"/>
      <color rgb="FFFFFFFF"/>
      <name val="맑은 고딕"/>
      <family val="3"/>
      <charset val="129"/>
    </font>
    <font>
      <sz val="9"/>
      <color rgb="FFFFFFFF"/>
      <name val="맑은 고딕"/>
      <family val="2"/>
      <charset val="1"/>
    </font>
    <font>
      <sz val="8"/>
      <color rgb="FFFFFFFF"/>
      <name val="Calibri"/>
      <family val="2"/>
      <charset val="1"/>
    </font>
    <font>
      <sz val="8"/>
      <name val="맑은 고딕"/>
      <family val="2"/>
      <charset val="129"/>
    </font>
    <font>
      <sz val="8"/>
      <color rgb="FFFF8800"/>
      <name val="Calibri"/>
      <family val="2"/>
      <charset val="1"/>
    </font>
    <font>
      <sz val="8"/>
      <color rgb="FFFF8800"/>
      <name val="돋움"/>
      <family val="3"/>
      <charset val="129"/>
    </font>
    <font>
      <sz val="8"/>
      <name val="돋움"/>
      <family val="3"/>
      <charset val="129"/>
    </font>
    <font>
      <sz val="9"/>
      <name val="Calibri"/>
      <family val="2"/>
      <charset val="1"/>
    </font>
    <font>
      <b val="true"/>
      <sz val="16"/>
      <color rgb="FF0070C0"/>
      <name val="Calibri"/>
      <family val="2"/>
      <charset val="1"/>
    </font>
    <font>
      <sz val="9"/>
      <color rgb="FF0070C0"/>
      <name val="맑은 고딕"/>
      <family val="2"/>
      <charset val="129"/>
    </font>
    <font>
      <b val="true"/>
      <sz val="16"/>
      <color rgb="FFFFFFFF"/>
      <name val="돋움"/>
      <family val="3"/>
      <charset val="129"/>
    </font>
    <font>
      <sz val="10"/>
      <color rgb="FF0070C0"/>
      <name val="돋움"/>
      <family val="3"/>
      <charset val="129"/>
    </font>
    <font>
      <b val="true"/>
      <sz val="10"/>
      <name val="돋움"/>
      <family val="3"/>
      <charset val="129"/>
    </font>
    <font>
      <sz val="10"/>
      <name val="Calibri"/>
      <family val="3"/>
      <charset val="129"/>
    </font>
    <font>
      <b val="true"/>
      <sz val="10"/>
      <name val="Calibri"/>
      <family val="2"/>
      <charset val="1"/>
    </font>
    <font>
      <sz val="10"/>
      <name val="맑은 고딕"/>
      <family val="2"/>
      <charset val="1"/>
    </font>
    <font>
      <sz val="11"/>
      <name val="맑은 고딕"/>
      <family val="2"/>
      <charset val="1"/>
    </font>
    <font>
      <b val="true"/>
      <sz val="16"/>
      <color rgb="FF0070C0"/>
      <name val="돋움"/>
      <family val="3"/>
      <charset val="129"/>
    </font>
    <font>
      <sz val="11"/>
      <name val="Calibri"/>
      <family val="2"/>
      <charset val="1"/>
    </font>
    <font>
      <sz val="10"/>
      <color rgb="FF000000"/>
      <name val="돋움"/>
      <family val="2"/>
    </font>
    <font>
      <sz val="14"/>
      <name val="돋움"/>
      <family val="3"/>
      <charset val="129"/>
    </font>
    <font>
      <sz val="14"/>
      <name val="Calibri"/>
      <family val="2"/>
      <charset val="1"/>
    </font>
    <font>
      <sz val="11"/>
      <color rgb="FFFFFFFF"/>
      <name val="돋움"/>
      <family val="3"/>
      <charset val="129"/>
    </font>
    <font>
      <sz val="12"/>
      <color rgb="FF222222"/>
      <name val="맑은 고딕"/>
      <family val="3"/>
      <charset val="129"/>
    </font>
    <font>
      <sz val="9"/>
      <color rgb="FF000000"/>
      <name val="맑은 고딕"/>
      <family val="3"/>
      <charset val="129"/>
    </font>
    <font>
      <sz val="9"/>
      <color rgb="FFFF0000"/>
      <name val="맑은 고딕"/>
      <family val="3"/>
      <charset val="129"/>
    </font>
    <font>
      <sz val="9"/>
      <name val="맑은 고딕"/>
      <family val="3"/>
      <charset val="129"/>
    </font>
    <font>
      <sz val="11"/>
      <name val="CA"/>
      <family val="2"/>
      <charset val="1"/>
    </font>
  </fonts>
  <fills count="18">
    <fill>
      <patternFill patternType="none"/>
    </fill>
    <fill>
      <patternFill patternType="gray125"/>
    </fill>
    <fill>
      <patternFill patternType="solid">
        <fgColor rgb="FF4472C4"/>
        <bgColor rgb="FF5B9BD5"/>
      </patternFill>
    </fill>
    <fill>
      <patternFill patternType="solid">
        <fgColor rgb="FFDEEBF7"/>
        <bgColor rgb="FFEAEAEA"/>
      </patternFill>
    </fill>
    <fill>
      <patternFill patternType="solid">
        <fgColor rgb="FFF2F2FF"/>
        <bgColor rgb="FFF2F2F2"/>
      </patternFill>
    </fill>
    <fill>
      <patternFill patternType="solid">
        <fgColor rgb="FF00A44A"/>
        <bgColor rgb="FF008000"/>
      </patternFill>
    </fill>
    <fill>
      <patternFill patternType="solid">
        <fgColor rgb="FFFF6600"/>
        <bgColor rgb="FFED7D31"/>
      </patternFill>
    </fill>
    <fill>
      <patternFill patternType="solid">
        <fgColor rgb="FF198CFF"/>
        <bgColor rgb="FF3399FF"/>
      </patternFill>
    </fill>
    <fill>
      <patternFill patternType="solid">
        <fgColor rgb="FFFFC000"/>
        <bgColor rgb="FFFF8800"/>
      </patternFill>
    </fill>
    <fill>
      <patternFill patternType="solid">
        <fgColor rgb="FFA6A6A6"/>
        <bgColor rgb="FFA5A5A5"/>
      </patternFill>
    </fill>
    <fill>
      <patternFill patternType="solid">
        <fgColor rgb="FF3399FF"/>
        <bgColor rgb="FF198CFF"/>
      </patternFill>
    </fill>
    <fill>
      <patternFill patternType="solid">
        <fgColor rgb="FFE7E6E6"/>
        <bgColor rgb="FFEAEAEA"/>
      </patternFill>
    </fill>
    <fill>
      <patternFill patternType="solid">
        <fgColor rgb="FFFF8800"/>
        <bgColor rgb="FFED7D31"/>
      </patternFill>
    </fill>
    <fill>
      <patternFill patternType="solid">
        <fgColor rgb="FFFFFFFF"/>
        <bgColor rgb="FFF2F2FF"/>
      </patternFill>
    </fill>
    <fill>
      <patternFill patternType="solid">
        <fgColor rgb="FFD9D9D9"/>
        <bgColor rgb="FFE7E6E6"/>
      </patternFill>
    </fill>
    <fill>
      <patternFill patternType="solid">
        <fgColor rgb="FFEAEAEA"/>
        <bgColor rgb="FFE7E6E6"/>
      </patternFill>
    </fill>
    <fill>
      <patternFill patternType="solid">
        <fgColor rgb="FFF2F2F2"/>
        <bgColor rgb="FFF2F2FF"/>
      </patternFill>
    </fill>
    <fill>
      <patternFill patternType="solid">
        <fgColor rgb="FF00B0F0"/>
        <bgColor rgb="FF198CFF"/>
      </patternFill>
    </fill>
  </fills>
  <borders count="21">
    <border diagonalUp="false" diagonalDown="false">
      <left/>
      <right/>
      <top/>
      <bottom/>
      <diagonal/>
    </border>
    <border diagonalUp="false" diagonalDown="false">
      <left/>
      <right/>
      <top/>
      <bottom style="thin"/>
      <diagonal/>
    </border>
    <border diagonalUp="false" diagonalDown="false">
      <left/>
      <right/>
      <top/>
      <bottom style="thin">
        <color rgb="FFA6A6A6"/>
      </bottom>
      <diagonal/>
    </border>
    <border diagonalUp="false" diagonalDown="false">
      <left/>
      <right/>
      <top/>
      <bottom style="thick">
        <color rgb="FFFFFFFF"/>
      </bottom>
      <diagonal/>
    </border>
    <border diagonalUp="false" diagonalDown="false">
      <left/>
      <right/>
      <top style="thin"/>
      <bottom style="thin"/>
      <diagonal/>
    </border>
    <border diagonalUp="false" diagonalDown="false">
      <left style="thin">
        <color rgb="FFD9D9D9"/>
      </left>
      <right style="thin">
        <color rgb="FFD9D9D9"/>
      </right>
      <top style="thin">
        <color rgb="FFD9D9D9"/>
      </top>
      <bottom style="thin">
        <color rgb="FFD9D9D9"/>
      </bottom>
      <diagonal/>
    </border>
    <border diagonalUp="false" diagonalDown="false">
      <left/>
      <right/>
      <top style="thin">
        <color rgb="FFFFFFFF"/>
      </top>
      <bottom style="thin">
        <color rgb="FFFFFFFF"/>
      </bottom>
      <diagonal/>
    </border>
    <border diagonalUp="false" diagonalDown="false">
      <left/>
      <right style="thin">
        <color rgb="FFFFFFFF"/>
      </right>
      <top/>
      <bottom/>
      <diagonal/>
    </border>
    <border diagonalUp="false" diagonalDown="false">
      <left style="thin">
        <color rgb="FFFFFFFF"/>
      </left>
      <right style="thin">
        <color rgb="FFFFFFFF"/>
      </right>
      <top/>
      <bottom/>
      <diagonal/>
    </border>
    <border diagonalUp="false" diagonalDown="false">
      <left style="thin">
        <color rgb="FFFFFFFF"/>
      </left>
      <right/>
      <top/>
      <bottom/>
      <diagonal/>
    </border>
    <border diagonalUp="false" diagonalDown="false">
      <left style="thin">
        <color rgb="FFFFFFFF"/>
      </left>
      <right style="thin">
        <color rgb="FFF2F2F2"/>
      </right>
      <top/>
      <bottom/>
      <diagonal/>
    </border>
    <border diagonalUp="false" diagonalDown="false">
      <left style="thin">
        <color rgb="FFF2F2F2"/>
      </left>
      <right style="thin">
        <color rgb="FFF2F2F2"/>
      </right>
      <top/>
      <bottom/>
      <diagonal/>
    </border>
    <border diagonalUp="false" diagonalDown="false">
      <left style="thin">
        <color rgb="FFF2F2F2"/>
      </left>
      <right style="thin">
        <color rgb="FFFFFFFF"/>
      </right>
      <top/>
      <bottom/>
      <diagonal/>
    </border>
    <border diagonalUp="false" diagonalDown="false">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right/>
      <top/>
      <bottom style="thin">
        <color rgb="FFFFFFFF"/>
      </bottom>
      <diagonal/>
    </border>
    <border diagonalUp="false" diagonalDown="false">
      <left style="thin">
        <color rgb="FFD9D9D9"/>
      </left>
      <right style="thin">
        <color rgb="FFD9D9D9"/>
      </right>
      <top/>
      <bottom style="thin">
        <color rgb="FFD9D9D9"/>
      </bottom>
      <diagonal/>
    </border>
    <border diagonalUp="false" diagonalDown="false">
      <left/>
      <right/>
      <top style="thin">
        <color rgb="FFD9D9D9"/>
      </top>
      <bottom/>
      <diagonal/>
    </border>
    <border diagonalUp="false" diagonalDown="false">
      <left style="thin"/>
      <right style="thin"/>
      <top style="thin"/>
      <bottom style="thin"/>
      <diagonal/>
    </border>
    <border diagonalUp="false" diagonalDown="false">
      <left/>
      <right/>
      <top/>
      <bottom style="thin">
        <color rgb="FFD9D9D9"/>
      </bottom>
      <diagonal/>
    </border>
    <border diagonalUp="false" diagonalDown="false">
      <left/>
      <right/>
      <top style="thin">
        <color rgb="FFD9D9D9"/>
      </top>
      <bottom style="thin">
        <color rgb="FFD9D9D9"/>
      </bottom>
      <diagonal/>
    </border>
  </borders>
  <cellStyleXfs count="25">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4" fillId="2"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cellStyleXfs>
  <cellXfs count="246">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23" applyFont="true" applyBorder="false" applyAlignment="true" applyProtection="false">
      <alignment horizontal="general" vertical="top" textRotation="0" wrapText="false" indent="0" shrinkToFit="false"/>
      <protection locked="true" hidden="false"/>
    </xf>
    <xf numFmtId="164" fontId="7" fillId="0" borderId="0" xfId="23" applyFont="true" applyBorder="false" applyAlignment="true" applyProtection="false">
      <alignment horizontal="left" vertical="top" textRotation="0" wrapText="false" indent="0" shrinkToFit="false"/>
      <protection locked="true" hidden="false"/>
    </xf>
    <xf numFmtId="164" fontId="8" fillId="3" borderId="1" xfId="23" applyFont="true" applyBorder="true" applyAlignment="true" applyProtection="false">
      <alignment horizontal="left" vertical="top" textRotation="0" wrapText="false" indent="0" shrinkToFit="false"/>
      <protection locked="true" hidden="false"/>
    </xf>
    <xf numFmtId="164" fontId="8" fillId="0" borderId="0" xfId="23" applyFont="true" applyBorder="true" applyAlignment="true" applyProtection="false">
      <alignment horizontal="general" vertical="top" textRotation="0" wrapText="false" indent="0" shrinkToFit="false"/>
      <protection locked="true" hidden="false"/>
    </xf>
    <xf numFmtId="164" fontId="8" fillId="0" borderId="0" xfId="23" applyFont="true" applyBorder="true" applyAlignment="true" applyProtection="false">
      <alignment horizontal="left" vertical="top" textRotation="0" wrapText="false" indent="0" shrinkToFit="false"/>
      <protection locked="true" hidden="false"/>
    </xf>
    <xf numFmtId="164" fontId="9" fillId="0" borderId="0" xfId="0" applyFont="true" applyBorder="false" applyAlignment="true" applyProtection="false">
      <alignment horizontal="general" vertical="bottom" textRotation="0" wrapText="false" indent="0" shrinkToFit="false"/>
      <protection locked="true" hidden="false"/>
    </xf>
    <xf numFmtId="166" fontId="8" fillId="0" borderId="0" xfId="23" applyFont="true" applyBorder="true" applyAlignment="true" applyProtection="false">
      <alignment horizontal="left" vertical="top" textRotation="0" wrapText="false" indent="0" shrinkToFit="false"/>
      <protection locked="true" hidden="false"/>
    </xf>
    <xf numFmtId="164" fontId="8" fillId="0" borderId="1" xfId="23" applyFont="true" applyBorder="true" applyAlignment="true" applyProtection="false">
      <alignment horizontal="general" vertical="top" textRotation="0" wrapText="false" indent="0" shrinkToFit="false"/>
      <protection locked="true" hidden="false"/>
    </xf>
    <xf numFmtId="164" fontId="8" fillId="0" borderId="1" xfId="23" applyFont="true" applyBorder="true" applyAlignment="true" applyProtection="false">
      <alignment horizontal="left" vertical="top" textRotation="0" wrapText="false" indent="0" shrinkToFit="false"/>
      <protection locked="true" hidden="false"/>
    </xf>
    <xf numFmtId="164" fontId="8" fillId="0" borderId="0" xfId="23" applyFont="true" applyBorder="false" applyAlignment="true" applyProtection="false">
      <alignment horizontal="general" vertical="top" textRotation="0" wrapText="false" indent="0" shrinkToFit="false"/>
      <protection locked="true" hidden="false"/>
    </xf>
    <xf numFmtId="166" fontId="8" fillId="0" borderId="0" xfId="23" applyFont="true" applyBorder="false" applyAlignment="true" applyProtection="false">
      <alignment horizontal="left" vertical="top" textRotation="0" wrapText="false" indent="0" shrinkToFit="false"/>
      <protection locked="true" hidden="false"/>
    </xf>
    <xf numFmtId="164" fontId="8" fillId="0" borderId="0" xfId="23" applyFont="true" applyBorder="false" applyAlignment="true" applyProtection="false">
      <alignment horizontal="left" vertical="top" textRotation="0" wrapText="false" indent="0" shrinkToFit="false"/>
      <protection locked="true" hidden="false"/>
    </xf>
    <xf numFmtId="167" fontId="8" fillId="0" borderId="0" xfId="23" applyFont="true" applyBorder="false" applyAlignment="true" applyProtection="false">
      <alignment horizontal="left" vertical="top" textRotation="0" wrapText="false" indent="0" shrinkToFit="false"/>
      <protection locked="true" hidden="false"/>
    </xf>
    <xf numFmtId="168" fontId="8" fillId="0" borderId="0" xfId="23" applyFont="true" applyBorder="false" applyAlignment="true" applyProtection="false">
      <alignment horizontal="left" vertical="top" textRotation="0" wrapText="false" indent="0" shrinkToFit="false"/>
      <protection locked="true" hidden="false"/>
    </xf>
    <xf numFmtId="166" fontId="8" fillId="0" borderId="0" xfId="23" applyFont="true" applyBorder="false" applyAlignment="true" applyProtection="false">
      <alignment horizontal="general" vertical="top" textRotation="0" wrapText="false" indent="0" shrinkToFit="false"/>
      <protection locked="true" hidden="false"/>
    </xf>
    <xf numFmtId="167" fontId="7" fillId="0" borderId="0" xfId="23" applyFont="true" applyBorder="false" applyAlignment="true" applyProtection="false">
      <alignment horizontal="left" vertical="top"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10" fillId="0" borderId="0" xfId="0" applyFont="true" applyBorder="false" applyAlignment="true" applyProtection="false">
      <alignment horizontal="center" vertical="bottom" textRotation="0" wrapText="false" indent="0" shrinkToFit="false"/>
      <protection locked="true" hidden="false"/>
    </xf>
    <xf numFmtId="164" fontId="11" fillId="4" borderId="2" xfId="0" applyFont="true" applyBorder="true" applyAlignment="true" applyProtection="true">
      <alignment horizontal="left" vertical="center" textRotation="0" wrapText="false" indent="0" shrinkToFit="false"/>
      <protection locked="true" hidden="false"/>
    </xf>
    <xf numFmtId="164" fontId="10" fillId="4" borderId="0" xfId="0" applyFont="true" applyBorder="true" applyAlignment="true" applyProtection="false">
      <alignment horizontal="general" vertical="center" textRotation="0" wrapText="false" indent="0" shrinkToFit="false"/>
      <protection locked="true" hidden="false"/>
    </xf>
    <xf numFmtId="164" fontId="12" fillId="4" borderId="0" xfId="20" applyFont="true" applyBorder="true" applyAlignment="true" applyProtection="true">
      <alignment horizontal="right" vertical="bottom" textRotation="0" wrapText="false" indent="0" shrinkToFit="false"/>
      <protection locked="true" hidden="false"/>
    </xf>
    <xf numFmtId="164" fontId="14" fillId="4" borderId="2" xfId="20" applyFont="true" applyBorder="true" applyAlignment="true" applyProtection="true">
      <alignment horizontal="right" vertical="center" textRotation="0" wrapText="false" indent="0" shrinkToFit="false"/>
      <protection locked="true" hidden="false"/>
    </xf>
    <xf numFmtId="164" fontId="15" fillId="0" borderId="0" xfId="0" applyFont="true" applyBorder="false" applyAlignment="false" applyProtection="true">
      <alignment horizontal="general" vertical="bottom" textRotation="0" wrapText="false" indent="0" shrinkToFit="false"/>
      <protection locked="false" hidden="false"/>
    </xf>
    <xf numFmtId="164" fontId="10" fillId="0" borderId="0" xfId="0" applyFont="true" applyBorder="true" applyAlignment="true" applyProtection="false">
      <alignment horizontal="left" vertical="top" textRotation="0" wrapText="true" indent="0" shrinkToFit="false"/>
      <protection locked="true" hidden="false"/>
    </xf>
    <xf numFmtId="164" fontId="15" fillId="0" borderId="0" xfId="0" applyFont="true" applyBorder="false" applyAlignment="true" applyProtection="true">
      <alignment horizontal="center" vertical="bottom" textRotation="0" wrapText="false" indent="0" shrinkToFit="false"/>
      <protection locked="false" hidden="false"/>
    </xf>
    <xf numFmtId="164" fontId="16" fillId="0" borderId="0" xfId="0" applyFont="true" applyBorder="false" applyAlignment="true" applyProtection="true">
      <alignment horizontal="center" vertical="bottom" textRotation="0" wrapText="false" indent="0" shrinkToFit="false"/>
      <protection locked="false" hidden="false"/>
    </xf>
    <xf numFmtId="164" fontId="17" fillId="0" borderId="0" xfId="0" applyFont="true" applyBorder="false" applyAlignment="false" applyProtection="true">
      <alignment horizontal="general" vertical="bottom" textRotation="0" wrapText="false" indent="0" shrinkToFit="false"/>
      <protection locked="false" hidden="false"/>
    </xf>
    <xf numFmtId="164" fontId="15" fillId="0" borderId="0" xfId="0" applyFont="true" applyBorder="false" applyAlignment="true" applyProtection="true">
      <alignment horizontal="general" vertical="center" textRotation="0" wrapText="false" indent="0" shrinkToFit="false"/>
      <protection locked="false" hidden="false"/>
    </xf>
    <xf numFmtId="164" fontId="18" fillId="5" borderId="3" xfId="20" applyFont="true" applyBorder="true" applyAlignment="true" applyProtection="true">
      <alignment horizontal="center" vertical="center" textRotation="0" wrapText="true" indent="0" shrinkToFit="false"/>
      <protection locked="false" hidden="false"/>
    </xf>
    <xf numFmtId="164" fontId="19" fillId="0" borderId="4" xfId="0" applyFont="true" applyBorder="true" applyAlignment="true" applyProtection="true">
      <alignment horizontal="left" vertical="center" textRotation="0" wrapText="true" indent="0" shrinkToFit="false"/>
      <protection locked="false" hidden="false"/>
    </xf>
    <xf numFmtId="164" fontId="18" fillId="6" borderId="3" xfId="20" applyFont="true" applyBorder="true" applyAlignment="true" applyProtection="true">
      <alignment horizontal="center" vertical="center" textRotation="0" wrapText="true" indent="0" shrinkToFit="false"/>
      <protection locked="false" hidden="false"/>
    </xf>
    <xf numFmtId="164" fontId="18" fillId="7" borderId="3" xfId="20" applyFont="true" applyBorder="true" applyAlignment="true" applyProtection="true">
      <alignment horizontal="center" vertical="center" textRotation="0" wrapText="true" indent="0" shrinkToFit="false"/>
      <protection locked="false" hidden="false"/>
    </xf>
    <xf numFmtId="164" fontId="18" fillId="8" borderId="3" xfId="20" applyFont="true" applyBorder="true" applyAlignment="true" applyProtection="true">
      <alignment horizontal="center" vertical="center" textRotation="0" wrapText="true" indent="0" shrinkToFit="false"/>
      <protection locked="false" hidden="false"/>
    </xf>
    <xf numFmtId="164" fontId="18" fillId="9" borderId="3" xfId="20" applyFont="true" applyBorder="true" applyAlignment="true" applyProtection="true">
      <alignment horizontal="center" vertical="center" textRotation="0" wrapText="true" indent="0" shrinkToFit="false"/>
      <protection locked="false" hidden="false"/>
    </xf>
    <xf numFmtId="164" fontId="19" fillId="0" borderId="1" xfId="0" applyFont="true" applyBorder="true" applyAlignment="true" applyProtection="true">
      <alignment horizontal="left" vertical="center" textRotation="0" wrapText="true" indent="0" shrinkToFit="false"/>
      <protection locked="false" hidden="false"/>
    </xf>
    <xf numFmtId="164" fontId="20" fillId="9" borderId="3" xfId="20" applyFont="true" applyBorder="true" applyAlignment="true" applyProtection="true">
      <alignment horizontal="center" vertical="center" textRotation="0" wrapText="true" indent="0" shrinkToFit="false"/>
      <protection locked="false" hidden="false"/>
    </xf>
    <xf numFmtId="164" fontId="10" fillId="0"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center" vertical="center" textRotation="0" wrapText="false" indent="0" shrinkToFit="false"/>
      <protection locked="true" hidden="false"/>
    </xf>
    <xf numFmtId="164" fontId="19" fillId="0" borderId="0" xfId="0" applyFont="true" applyBorder="false" applyAlignment="true" applyProtection="false">
      <alignment horizontal="general" vertical="center" textRotation="0" wrapText="false" indent="0" shrinkToFit="false"/>
      <protection locked="true" hidden="false"/>
    </xf>
    <xf numFmtId="164" fontId="21" fillId="0" borderId="0" xfId="0" applyFont="true" applyBorder="false" applyAlignment="true" applyProtection="true">
      <alignment horizontal="center" vertical="bottom" textRotation="0" wrapText="false" indent="0" shrinkToFit="false"/>
      <protection locked="false" hidden="false"/>
    </xf>
    <xf numFmtId="164" fontId="20" fillId="10" borderId="3" xfId="20" applyFont="true" applyBorder="true" applyAlignment="true" applyProtection="true">
      <alignment horizontal="center" vertical="center" textRotation="0" wrapText="true" indent="0" shrinkToFit="false"/>
      <protection locked="false" hidden="false"/>
    </xf>
    <xf numFmtId="164" fontId="19" fillId="0" borderId="4" xfId="0" applyFont="true" applyBorder="true" applyAlignment="true" applyProtection="true">
      <alignment horizontal="left" vertical="top" textRotation="0" wrapText="true" indent="0" shrinkToFit="false"/>
      <protection locked="false" hidden="false"/>
    </xf>
    <xf numFmtId="164" fontId="22" fillId="0" borderId="4" xfId="20" applyFont="true" applyBorder="true" applyAlignment="true" applyProtection="true">
      <alignment horizontal="center" vertical="center" textRotation="0" wrapText="true" indent="0" shrinkToFit="false"/>
      <protection locked="false" hidden="false"/>
    </xf>
    <xf numFmtId="164" fontId="23" fillId="0" borderId="4" xfId="20" applyFont="true" applyBorder="true" applyAlignment="true" applyProtection="true">
      <alignment horizontal="center" vertical="center" textRotation="0" wrapText="true" indent="0" shrinkToFit="false"/>
      <protection locked="false" hidden="false"/>
    </xf>
    <xf numFmtId="164" fontId="17" fillId="0" borderId="0" xfId="0" applyFont="true" applyBorder="false" applyAlignment="true" applyProtection="true">
      <alignment horizontal="center" vertical="bottom" textRotation="0" wrapText="false" indent="0" shrinkToFit="false"/>
      <protection locked="false" hidden="false"/>
    </xf>
    <xf numFmtId="164" fontId="21" fillId="11" borderId="0" xfId="0" applyFont="true" applyBorder="false" applyAlignment="true" applyProtection="true">
      <alignment horizontal="left" vertical="bottom" textRotation="0" wrapText="false" indent="0" shrinkToFit="false"/>
      <protection locked="false" hidden="false"/>
    </xf>
    <xf numFmtId="164" fontId="15" fillId="11" borderId="0" xfId="0" applyFont="true" applyBorder="false" applyAlignment="false" applyProtection="true">
      <alignment horizontal="general" vertical="bottom" textRotation="0" wrapText="false" indent="0" shrinkToFit="false"/>
      <protection locked="false" hidden="false"/>
    </xf>
    <xf numFmtId="164" fontId="17" fillId="11" borderId="0" xfId="0" applyFont="true" applyBorder="false" applyAlignment="false" applyProtection="true">
      <alignment horizontal="general" vertical="bottom" textRotation="0" wrapText="false" indent="0" shrinkToFit="false"/>
      <protection locked="false" hidden="false"/>
    </xf>
    <xf numFmtId="164" fontId="15" fillId="11" borderId="0" xfId="0" applyFont="true" applyBorder="false" applyAlignment="true" applyProtection="true">
      <alignment horizontal="general" vertical="center" textRotation="0" wrapText="false" indent="0" shrinkToFit="false"/>
      <protection locked="false" hidden="false"/>
    </xf>
    <xf numFmtId="164" fontId="24" fillId="11" borderId="0" xfId="0" applyFont="true" applyBorder="true" applyAlignment="true" applyProtection="false">
      <alignment horizontal="left" vertical="top" textRotation="0" wrapText="true" indent="0" shrinkToFit="false"/>
      <protection locked="true" hidden="false"/>
    </xf>
    <xf numFmtId="164" fontId="25" fillId="0" borderId="5" xfId="23" applyFont="true" applyBorder="true" applyAlignment="true" applyProtection="true">
      <alignment horizontal="general" vertical="top" textRotation="0" wrapText="false" indent="0" shrinkToFit="false"/>
      <protection locked="false" hidden="false"/>
    </xf>
    <xf numFmtId="164" fontId="25" fillId="0" borderId="5" xfId="23" applyFont="true" applyBorder="true" applyAlignment="true" applyProtection="true">
      <alignment horizontal="right" vertical="top" textRotation="0" wrapText="false" indent="0" shrinkToFit="false"/>
      <protection locked="false" hidden="false"/>
    </xf>
    <xf numFmtId="164" fontId="25" fillId="0" borderId="5" xfId="23" applyFont="true" applyBorder="true" applyAlignment="true" applyProtection="true">
      <alignment horizontal="left" vertical="top" textRotation="0" wrapText="false" indent="0" shrinkToFit="false"/>
      <protection locked="false" hidden="false"/>
    </xf>
    <xf numFmtId="166" fontId="25" fillId="0" borderId="5" xfId="23" applyFont="true" applyBorder="true" applyAlignment="true" applyProtection="true">
      <alignment horizontal="center" vertical="top" textRotation="0" wrapText="false" indent="0" shrinkToFit="false"/>
      <protection locked="false" hidden="false"/>
    </xf>
    <xf numFmtId="169" fontId="25" fillId="0" borderId="5" xfId="23" applyFont="true" applyBorder="true" applyAlignment="true" applyProtection="true">
      <alignment horizontal="center" vertical="top" textRotation="0" wrapText="false" indent="0" shrinkToFit="false"/>
      <protection locked="false" hidden="false"/>
    </xf>
    <xf numFmtId="164" fontId="25" fillId="0" borderId="5" xfId="23" applyFont="true" applyBorder="true" applyAlignment="true" applyProtection="true">
      <alignment horizontal="center" vertical="top" textRotation="0" wrapText="false" indent="0" shrinkToFit="false"/>
      <protection locked="false" hidden="false"/>
    </xf>
    <xf numFmtId="170" fontId="25" fillId="0" borderId="5" xfId="23" applyFont="true" applyBorder="true" applyAlignment="true" applyProtection="true">
      <alignment horizontal="center" vertical="top" textRotation="0" wrapText="false" indent="0" shrinkToFit="false"/>
      <protection locked="false" hidden="false"/>
    </xf>
    <xf numFmtId="167" fontId="25" fillId="0" borderId="5" xfId="23" applyFont="true" applyBorder="true" applyAlignment="true" applyProtection="true">
      <alignment horizontal="center" vertical="top" textRotation="0" wrapText="false" indent="0" shrinkToFit="false"/>
      <protection locked="false" hidden="false"/>
    </xf>
    <xf numFmtId="171" fontId="25" fillId="0" borderId="5" xfId="23" applyFont="true" applyBorder="true" applyAlignment="true" applyProtection="true">
      <alignment horizontal="center" vertical="top" textRotation="0" wrapText="false" indent="0" shrinkToFit="false"/>
      <protection locked="false" hidden="false"/>
    </xf>
    <xf numFmtId="166" fontId="25" fillId="0" borderId="5" xfId="23" applyFont="true" applyBorder="true" applyAlignment="true" applyProtection="true">
      <alignment horizontal="left" vertical="top" textRotation="0" wrapText="false" indent="0" shrinkToFit="false"/>
      <protection locked="false" hidden="false"/>
    </xf>
    <xf numFmtId="172" fontId="26" fillId="0" borderId="5" xfId="22" applyFont="true" applyBorder="true" applyAlignment="true" applyProtection="true">
      <alignment horizontal="right" vertical="top" textRotation="0" wrapText="true" indent="0" shrinkToFit="false"/>
      <protection locked="false" hidden="false"/>
    </xf>
    <xf numFmtId="172" fontId="26" fillId="0" borderId="5" xfId="22" applyFont="true" applyBorder="true" applyAlignment="true" applyProtection="true">
      <alignment horizontal="right" vertical="top" textRotation="0" wrapText="false" indent="0" shrinkToFit="false"/>
      <protection locked="false" hidden="false"/>
    </xf>
    <xf numFmtId="164" fontId="25" fillId="0" borderId="6" xfId="23" applyFont="true" applyBorder="true" applyAlignment="true" applyProtection="true">
      <alignment horizontal="left" vertical="center" textRotation="0" wrapText="false" indent="0" shrinkToFit="false"/>
      <protection locked="false" hidden="false"/>
    </xf>
    <xf numFmtId="164" fontId="27" fillId="4" borderId="0" xfId="21" applyFont="true" applyBorder="true" applyAlignment="true" applyProtection="true">
      <alignment horizontal="left" vertical="top" textRotation="0" wrapText="false" indent="0" shrinkToFit="false"/>
      <protection locked="true" hidden="false"/>
    </xf>
    <xf numFmtId="164" fontId="27" fillId="4" borderId="0" xfId="21" applyFont="true" applyBorder="true" applyAlignment="true" applyProtection="true">
      <alignment horizontal="left" vertical="center" textRotation="0" wrapText="false" indent="0" shrinkToFit="false"/>
      <protection locked="true" hidden="false"/>
    </xf>
    <xf numFmtId="164" fontId="28" fillId="4" borderId="0" xfId="21" applyFont="true" applyBorder="true" applyAlignment="true" applyProtection="true">
      <alignment horizontal="left" vertical="top" textRotation="0" wrapText="false" indent="0" shrinkToFit="false"/>
      <protection locked="true" hidden="false"/>
    </xf>
    <xf numFmtId="173" fontId="29" fillId="4" borderId="0" xfId="21" applyFont="true" applyBorder="true" applyAlignment="true" applyProtection="true">
      <alignment horizontal="left" vertical="center" textRotation="0" wrapText="false" indent="0" shrinkToFit="false"/>
      <protection locked="true" hidden="false"/>
    </xf>
    <xf numFmtId="164" fontId="30" fillId="4" borderId="0" xfId="21" applyFont="true" applyBorder="true" applyAlignment="true" applyProtection="true">
      <alignment horizontal="general" vertical="center" textRotation="0" wrapText="false" indent="0" shrinkToFit="false"/>
      <protection locked="true" hidden="false"/>
    </xf>
    <xf numFmtId="166" fontId="30" fillId="4" borderId="0" xfId="21" applyFont="true" applyBorder="true" applyAlignment="true" applyProtection="true">
      <alignment horizontal="general" vertical="top" textRotation="0" wrapText="false" indent="0" shrinkToFit="false"/>
      <protection locked="true" hidden="false"/>
    </xf>
    <xf numFmtId="166" fontId="31" fillId="4" borderId="0" xfId="21" applyFont="true" applyBorder="true" applyAlignment="true" applyProtection="true">
      <alignment horizontal="left" vertical="top" textRotation="0" wrapText="true" indent="0" shrinkToFit="false"/>
      <protection locked="true" hidden="false"/>
    </xf>
    <xf numFmtId="164" fontId="32" fillId="4" borderId="0" xfId="21" applyFont="true" applyBorder="true" applyAlignment="true" applyProtection="true">
      <alignment horizontal="center" vertical="top" textRotation="0" wrapText="false" indent="0" shrinkToFit="false"/>
      <protection locked="true" hidden="false"/>
    </xf>
    <xf numFmtId="164" fontId="27" fillId="4" borderId="0" xfId="21" applyFont="true" applyBorder="true" applyAlignment="true" applyProtection="true">
      <alignment horizontal="center" vertical="top" textRotation="0" wrapText="false" indent="0" shrinkToFit="false"/>
      <protection locked="true" hidden="false"/>
    </xf>
    <xf numFmtId="164" fontId="30" fillId="4" borderId="0" xfId="21" applyFont="true" applyBorder="true" applyAlignment="true" applyProtection="true">
      <alignment horizontal="center" vertical="top" textRotation="0" wrapText="false" indent="0" shrinkToFit="false"/>
      <protection locked="true" hidden="false"/>
    </xf>
    <xf numFmtId="166" fontId="30" fillId="4" borderId="0" xfId="21" applyFont="true" applyBorder="true" applyAlignment="true" applyProtection="true">
      <alignment horizontal="center" vertical="top" textRotation="0" wrapText="false" indent="0" shrinkToFit="false"/>
      <protection locked="true" hidden="false"/>
    </xf>
    <xf numFmtId="167" fontId="30" fillId="4" borderId="0" xfId="21" applyFont="true" applyBorder="true" applyAlignment="true" applyProtection="true">
      <alignment horizontal="center" vertical="top" textRotation="0" wrapText="false" indent="0" shrinkToFit="false"/>
      <protection locked="true" hidden="false"/>
    </xf>
    <xf numFmtId="164" fontId="33" fillId="4" borderId="0" xfId="20" applyFont="true" applyBorder="true" applyAlignment="true" applyProtection="true">
      <alignment horizontal="general" vertical="top" textRotation="0" wrapText="true" indent="0" shrinkToFit="false"/>
      <protection locked="true" hidden="false"/>
    </xf>
    <xf numFmtId="164" fontId="33" fillId="4" borderId="0" xfId="20" applyFont="true" applyBorder="true" applyAlignment="true" applyProtection="true">
      <alignment horizontal="general" vertical="top" textRotation="0" wrapText="false" indent="0" shrinkToFit="false"/>
      <protection locked="true" hidden="false"/>
    </xf>
    <xf numFmtId="164" fontId="34" fillId="4" borderId="0" xfId="20" applyFont="true" applyBorder="true" applyAlignment="true" applyProtection="true">
      <alignment horizontal="right" vertical="top" textRotation="0" wrapText="false" indent="0" shrinkToFit="false"/>
      <protection locked="true" hidden="false"/>
    </xf>
    <xf numFmtId="173" fontId="35" fillId="4" borderId="0" xfId="20" applyFont="true" applyBorder="true" applyAlignment="true" applyProtection="true">
      <alignment horizontal="right" vertical="center" textRotation="0" wrapText="false" indent="0" shrinkToFit="false"/>
      <protection locked="true" hidden="false"/>
    </xf>
    <xf numFmtId="164" fontId="36" fillId="4" borderId="0" xfId="20" applyFont="true" applyBorder="true" applyAlignment="true" applyProtection="true">
      <alignment horizontal="left" vertical="center" textRotation="0" wrapText="false" indent="0" shrinkToFit="false"/>
      <protection locked="true" hidden="false"/>
    </xf>
    <xf numFmtId="164" fontId="37" fillId="4" borderId="0" xfId="21" applyFont="true" applyBorder="true" applyAlignment="true" applyProtection="true">
      <alignment horizontal="left" vertical="center" textRotation="0" wrapText="false" indent="0" shrinkToFit="false"/>
      <protection locked="true" hidden="false"/>
    </xf>
    <xf numFmtId="164" fontId="38" fillId="4" borderId="0" xfId="21" applyFont="true" applyBorder="true" applyAlignment="true" applyProtection="true">
      <alignment horizontal="left" vertical="top" textRotation="0" wrapText="false" indent="0" shrinkToFit="false"/>
      <protection locked="true" hidden="false"/>
    </xf>
    <xf numFmtId="164" fontId="39" fillId="4" borderId="0" xfId="21" applyFont="true" applyBorder="true" applyAlignment="true" applyProtection="true">
      <alignment horizontal="left" vertical="top" textRotation="0" wrapText="false" indent="0" shrinkToFit="false"/>
      <protection locked="true" hidden="false"/>
    </xf>
    <xf numFmtId="164" fontId="40" fillId="4" borderId="0" xfId="22" applyFont="true" applyBorder="true" applyAlignment="true" applyProtection="true">
      <alignment horizontal="center" vertical="center" textRotation="0" wrapText="true" indent="0" shrinkToFit="false"/>
      <protection locked="true" hidden="false"/>
    </xf>
    <xf numFmtId="164" fontId="41" fillId="4" borderId="0" xfId="20" applyFont="true" applyBorder="true" applyAlignment="true" applyProtection="true">
      <alignment horizontal="right" vertical="center" textRotation="0" wrapText="false" indent="0" shrinkToFit="false"/>
      <protection locked="true" hidden="false"/>
    </xf>
    <xf numFmtId="172" fontId="40" fillId="4" borderId="0" xfId="22" applyFont="true" applyBorder="true" applyAlignment="true" applyProtection="true">
      <alignment horizontal="right" vertical="center" textRotation="0" wrapText="false" indent="0" shrinkToFit="false"/>
      <protection locked="true" hidden="false"/>
    </xf>
    <xf numFmtId="164" fontId="42" fillId="4" borderId="0" xfId="20" applyFont="true" applyBorder="true" applyAlignment="true" applyProtection="true">
      <alignment horizontal="general" vertical="top" textRotation="0" wrapText="false" indent="0" shrinkToFit="false"/>
      <protection locked="true" hidden="false"/>
    </xf>
    <xf numFmtId="164" fontId="42" fillId="4" borderId="0" xfId="20" applyFont="true" applyBorder="true" applyAlignment="true" applyProtection="true">
      <alignment horizontal="right" vertical="top" textRotation="0" wrapText="false" indent="0" shrinkToFit="false"/>
      <protection locked="true" hidden="false"/>
    </xf>
    <xf numFmtId="164" fontId="43" fillId="4" borderId="0" xfId="21" applyFont="true" applyBorder="true" applyAlignment="true" applyProtection="true">
      <alignment horizontal="left" vertical="center" textRotation="0" wrapText="false" indent="0" shrinkToFit="false"/>
      <protection locked="true" hidden="false"/>
    </xf>
    <xf numFmtId="164" fontId="45" fillId="10" borderId="7" xfId="23" applyFont="true" applyBorder="true" applyAlignment="true" applyProtection="true">
      <alignment horizontal="center" vertical="center" textRotation="0" wrapText="true" indent="0" shrinkToFit="false"/>
      <protection locked="true" hidden="false"/>
    </xf>
    <xf numFmtId="164" fontId="45" fillId="10" borderId="8" xfId="23" applyFont="true" applyBorder="true" applyAlignment="true" applyProtection="true">
      <alignment horizontal="center" vertical="center" textRotation="0" wrapText="false" indent="0" shrinkToFit="false"/>
      <protection locked="true" hidden="false"/>
    </xf>
    <xf numFmtId="164" fontId="45" fillId="10" borderId="8" xfId="23" applyFont="true" applyBorder="true" applyAlignment="true" applyProtection="true">
      <alignment horizontal="center" vertical="center" textRotation="0" wrapText="true" indent="0" shrinkToFit="false"/>
      <protection locked="true" hidden="false"/>
    </xf>
    <xf numFmtId="164" fontId="45" fillId="12" borderId="8" xfId="23" applyFont="true" applyBorder="true" applyAlignment="true" applyProtection="true">
      <alignment horizontal="center" vertical="center" textRotation="0" wrapText="false" indent="0" shrinkToFit="false"/>
      <protection locked="true" hidden="false"/>
    </xf>
    <xf numFmtId="164" fontId="46" fillId="10" borderId="9" xfId="23" applyFont="true" applyBorder="true" applyAlignment="true" applyProtection="true">
      <alignment horizontal="center" vertical="center" textRotation="0" wrapText="false" indent="0" shrinkToFit="false"/>
      <protection locked="true" hidden="false"/>
    </xf>
    <xf numFmtId="166" fontId="47" fillId="10" borderId="8" xfId="23" applyFont="true" applyBorder="true" applyAlignment="true" applyProtection="true">
      <alignment horizontal="center" vertical="center" textRotation="0" wrapText="false" indent="0" shrinkToFit="false"/>
      <protection locked="true" hidden="false"/>
    </xf>
    <xf numFmtId="166" fontId="46" fillId="10" borderId="8" xfId="23" applyFont="true" applyBorder="true" applyAlignment="true" applyProtection="true">
      <alignment horizontal="center" vertical="center" textRotation="0" wrapText="false" indent="0" shrinkToFit="false"/>
      <protection locked="true" hidden="false"/>
    </xf>
    <xf numFmtId="169" fontId="46" fillId="12" borderId="8" xfId="23" applyFont="true" applyBorder="true" applyAlignment="true" applyProtection="true">
      <alignment horizontal="center" vertical="center" textRotation="0" wrapText="true" indent="0" shrinkToFit="false"/>
      <protection locked="true" hidden="false"/>
    </xf>
    <xf numFmtId="169" fontId="46" fillId="12" borderId="8" xfId="23" applyFont="true" applyBorder="true" applyAlignment="true" applyProtection="true">
      <alignment horizontal="center" vertical="top" textRotation="0" wrapText="true" indent="0" shrinkToFit="false"/>
      <protection locked="true" hidden="false"/>
    </xf>
    <xf numFmtId="164" fontId="46" fillId="12" borderId="8" xfId="23" applyFont="true" applyBorder="true" applyAlignment="true" applyProtection="true">
      <alignment horizontal="center" vertical="center" textRotation="0" wrapText="true" indent="0" shrinkToFit="false"/>
      <protection locked="true" hidden="false"/>
    </xf>
    <xf numFmtId="166" fontId="46" fillId="10" borderId="8" xfId="23" applyFont="true" applyBorder="true" applyAlignment="true" applyProtection="true">
      <alignment horizontal="center" vertical="center" textRotation="0" wrapText="true" indent="0" shrinkToFit="false"/>
      <protection locked="true" hidden="false"/>
    </xf>
    <xf numFmtId="170" fontId="46" fillId="12" borderId="8" xfId="23" applyFont="true" applyBorder="true" applyAlignment="true" applyProtection="true">
      <alignment horizontal="center" vertical="center" textRotation="0" wrapText="true" indent="0" shrinkToFit="false"/>
      <protection locked="true" hidden="false"/>
    </xf>
    <xf numFmtId="167" fontId="46" fillId="12" borderId="8" xfId="23" applyFont="true" applyBorder="true" applyAlignment="true" applyProtection="true">
      <alignment horizontal="center" vertical="center" textRotation="0" wrapText="true" indent="0" shrinkToFit="false"/>
      <protection locked="true" hidden="false"/>
    </xf>
    <xf numFmtId="169" fontId="46" fillId="10" borderId="8" xfId="23" applyFont="true" applyBorder="true" applyAlignment="true" applyProtection="true">
      <alignment horizontal="center" vertical="center" textRotation="0" wrapText="false" indent="0" shrinkToFit="false"/>
      <protection locked="true" hidden="false"/>
    </xf>
    <xf numFmtId="164" fontId="46" fillId="10" borderId="8" xfId="23" applyFont="true" applyBorder="true" applyAlignment="true" applyProtection="true">
      <alignment horizontal="center" vertical="center" textRotation="0" wrapText="false" indent="0" shrinkToFit="false"/>
      <protection locked="true" hidden="false"/>
    </xf>
    <xf numFmtId="172" fontId="48" fillId="12" borderId="8" xfId="22" applyFont="true" applyBorder="true" applyAlignment="true" applyProtection="true">
      <alignment horizontal="center" vertical="center" textRotation="0" wrapText="true" indent="0" shrinkToFit="false"/>
      <protection locked="true" hidden="false"/>
    </xf>
    <xf numFmtId="172" fontId="48" fillId="10" borderId="9" xfId="22" applyFont="true" applyBorder="true" applyAlignment="true" applyProtection="true">
      <alignment horizontal="center" vertical="center" textRotation="0" wrapText="true" indent="0" shrinkToFit="false"/>
      <protection locked="true" hidden="false"/>
    </xf>
    <xf numFmtId="164" fontId="49" fillId="12" borderId="10" xfId="21" applyFont="true" applyBorder="true" applyAlignment="true" applyProtection="true">
      <alignment horizontal="left" vertical="center" textRotation="0" wrapText="true" indent="0" shrinkToFit="false"/>
      <protection locked="true" hidden="false"/>
    </xf>
    <xf numFmtId="164" fontId="49" fillId="12" borderId="11" xfId="21" applyFont="true" applyBorder="true" applyAlignment="true" applyProtection="true">
      <alignment horizontal="left" vertical="center" textRotation="0" wrapText="true" indent="0" shrinkToFit="false"/>
      <protection locked="true" hidden="false"/>
    </xf>
    <xf numFmtId="164" fontId="49" fillId="12" borderId="12" xfId="21" applyFont="true" applyBorder="true" applyAlignment="true" applyProtection="true">
      <alignment horizontal="left" vertical="center" textRotation="0" wrapText="true" indent="0" shrinkToFit="false"/>
      <protection locked="true" hidden="false"/>
    </xf>
    <xf numFmtId="164" fontId="50" fillId="0" borderId="0" xfId="21" applyFont="true" applyBorder="true" applyAlignment="true" applyProtection="true">
      <alignment horizontal="left" vertical="center" textRotation="0" wrapText="false" indent="0" shrinkToFit="false"/>
      <protection locked="true" hidden="false"/>
    </xf>
    <xf numFmtId="174" fontId="51" fillId="12" borderId="10" xfId="23" applyFont="true" applyBorder="true" applyAlignment="true" applyProtection="true">
      <alignment horizontal="center" vertical="center" textRotation="0" wrapText="false" indent="0" shrinkToFit="false"/>
      <protection locked="true" hidden="false"/>
    </xf>
    <xf numFmtId="174" fontId="51" fillId="12" borderId="11" xfId="23" applyFont="true" applyBorder="true" applyAlignment="true" applyProtection="true">
      <alignment horizontal="center" vertical="center" textRotation="0" wrapText="false" indent="0" shrinkToFit="false"/>
      <protection locked="true" hidden="false"/>
    </xf>
    <xf numFmtId="164" fontId="52" fillId="12" borderId="11" xfId="23" applyFont="true" applyBorder="true" applyAlignment="true" applyProtection="true">
      <alignment horizontal="left" vertical="center" textRotation="0" wrapText="false" indent="0" shrinkToFit="false"/>
      <protection locked="true" hidden="false"/>
    </xf>
    <xf numFmtId="164" fontId="52" fillId="12" borderId="12" xfId="23" applyFont="true" applyBorder="true" applyAlignment="true" applyProtection="true">
      <alignment horizontal="left" vertical="center" textRotation="0" wrapText="false" indent="0" shrinkToFit="false"/>
      <protection locked="true" hidden="false"/>
    </xf>
    <xf numFmtId="164" fontId="52" fillId="0" borderId="0" xfId="23" applyFont="true" applyBorder="true" applyAlignment="true" applyProtection="true">
      <alignment horizontal="left" vertical="center" textRotation="0" wrapText="false" indent="0" shrinkToFit="false"/>
      <protection locked="true" hidden="false"/>
    </xf>
    <xf numFmtId="164" fontId="53" fillId="0" borderId="0" xfId="23" applyFont="true" applyBorder="true" applyAlignment="true" applyProtection="true">
      <alignment horizontal="left" vertical="center" textRotation="0" wrapText="false" indent="0" shrinkToFit="false"/>
      <protection locked="true" hidden="false"/>
    </xf>
    <xf numFmtId="164" fontId="54" fillId="0" borderId="5" xfId="23" applyFont="true" applyBorder="true" applyAlignment="true" applyProtection="true">
      <alignment horizontal="general" vertical="top" textRotation="0" wrapText="false" indent="0" shrinkToFit="false"/>
      <protection locked="false" hidden="false"/>
    </xf>
    <xf numFmtId="164" fontId="54" fillId="0" borderId="5" xfId="23" applyFont="true" applyBorder="true" applyAlignment="true" applyProtection="true">
      <alignment horizontal="right" vertical="top" textRotation="0" wrapText="false" indent="0" shrinkToFit="false"/>
      <protection locked="false" hidden="false"/>
    </xf>
    <xf numFmtId="166" fontId="54" fillId="0" borderId="5" xfId="23" applyFont="true" applyBorder="true" applyAlignment="true" applyProtection="true">
      <alignment horizontal="center" vertical="top" textRotation="0" wrapText="false" indent="0" shrinkToFit="false"/>
      <protection locked="false" hidden="false"/>
    </xf>
    <xf numFmtId="169" fontId="54" fillId="0" borderId="5" xfId="23" applyFont="true" applyBorder="true" applyAlignment="true" applyProtection="true">
      <alignment horizontal="center" vertical="top" textRotation="0" wrapText="false" indent="0" shrinkToFit="false"/>
      <protection locked="false" hidden="false"/>
    </xf>
    <xf numFmtId="164" fontId="54" fillId="0" borderId="5" xfId="23" applyFont="true" applyBorder="true" applyAlignment="true" applyProtection="true">
      <alignment horizontal="center" vertical="top" textRotation="0" wrapText="false" indent="0" shrinkToFit="false"/>
      <protection locked="false" hidden="false"/>
    </xf>
    <xf numFmtId="170" fontId="54" fillId="0" borderId="5" xfId="23" applyFont="true" applyBorder="true" applyAlignment="true" applyProtection="true">
      <alignment horizontal="center" vertical="top" textRotation="0" wrapText="false" indent="0" shrinkToFit="false"/>
      <protection locked="false" hidden="false"/>
    </xf>
    <xf numFmtId="167" fontId="54" fillId="0" borderId="5" xfId="23" applyFont="true" applyBorder="true" applyAlignment="true" applyProtection="true">
      <alignment horizontal="center" vertical="top" textRotation="0" wrapText="false" indent="0" shrinkToFit="false"/>
      <protection locked="false" hidden="false"/>
    </xf>
    <xf numFmtId="172" fontId="54" fillId="0" borderId="5" xfId="19" applyFont="true" applyBorder="true" applyAlignment="true" applyProtection="true">
      <alignment horizontal="right" vertical="top" textRotation="0" wrapText="true" indent="0" shrinkToFit="false"/>
      <protection locked="false" hidden="false"/>
    </xf>
    <xf numFmtId="172" fontId="54" fillId="0" borderId="5" xfId="19" applyFont="true" applyBorder="true" applyAlignment="true" applyProtection="true">
      <alignment horizontal="right" vertical="top" textRotation="0" wrapText="false" indent="0" shrinkToFit="false"/>
      <protection locked="false" hidden="false"/>
    </xf>
    <xf numFmtId="164" fontId="25" fillId="0" borderId="13" xfId="23" applyFont="true" applyBorder="true" applyAlignment="true" applyProtection="true">
      <alignment horizontal="left" vertical="center" textRotation="0" wrapText="false" indent="0" shrinkToFit="false"/>
      <protection locked="false" hidden="false"/>
    </xf>
    <xf numFmtId="164" fontId="25" fillId="0" borderId="14" xfId="23" applyFont="true" applyBorder="true" applyAlignment="true" applyProtection="true">
      <alignment horizontal="left" vertical="center" textRotation="0" wrapText="false" indent="0" shrinkToFit="false"/>
      <protection locked="false" hidden="false"/>
    </xf>
    <xf numFmtId="164" fontId="25" fillId="0" borderId="15" xfId="23" applyFont="true" applyBorder="true" applyAlignment="true" applyProtection="true">
      <alignment horizontal="left" vertical="center" textRotation="0" wrapText="false" indent="0" shrinkToFit="false"/>
      <protection locked="false" hidden="false"/>
    </xf>
    <xf numFmtId="164" fontId="54" fillId="0" borderId="5" xfId="23" applyFont="true" applyBorder="true" applyAlignment="true" applyProtection="true">
      <alignment horizontal="left" vertical="top" textRotation="0" wrapText="false" indent="0" shrinkToFit="false"/>
      <protection locked="false" hidden="false"/>
    </xf>
    <xf numFmtId="164" fontId="25" fillId="0" borderId="16" xfId="23" applyFont="true" applyBorder="true" applyAlignment="true" applyProtection="true">
      <alignment horizontal="general" vertical="top" textRotation="0" wrapText="false" indent="0" shrinkToFit="false"/>
      <protection locked="false" hidden="false"/>
    </xf>
    <xf numFmtId="164" fontId="25" fillId="0" borderId="16" xfId="23" applyFont="true" applyBorder="true" applyAlignment="true" applyProtection="true">
      <alignment horizontal="right" vertical="top" textRotation="0" wrapText="false" indent="0" shrinkToFit="false"/>
      <protection locked="false" hidden="false"/>
    </xf>
    <xf numFmtId="164" fontId="25" fillId="0" borderId="16" xfId="23" applyFont="true" applyBorder="true" applyAlignment="true" applyProtection="true">
      <alignment horizontal="left" vertical="top" textRotation="0" wrapText="false" indent="0" shrinkToFit="false"/>
      <protection locked="false" hidden="false"/>
    </xf>
    <xf numFmtId="166" fontId="25" fillId="0" borderId="16" xfId="23" applyFont="true" applyBorder="true" applyAlignment="true" applyProtection="true">
      <alignment horizontal="center" vertical="top" textRotation="0" wrapText="false" indent="0" shrinkToFit="false"/>
      <protection locked="false" hidden="false"/>
    </xf>
    <xf numFmtId="169" fontId="25" fillId="0" borderId="16" xfId="23" applyFont="true" applyBorder="true" applyAlignment="true" applyProtection="true">
      <alignment horizontal="center" vertical="top" textRotation="0" wrapText="false" indent="0" shrinkToFit="false"/>
      <protection locked="false" hidden="false"/>
    </xf>
    <xf numFmtId="164" fontId="25" fillId="0" borderId="16" xfId="23" applyFont="true" applyBorder="true" applyAlignment="true" applyProtection="true">
      <alignment horizontal="center" vertical="top" textRotation="0" wrapText="false" indent="0" shrinkToFit="false"/>
      <protection locked="false" hidden="false"/>
    </xf>
    <xf numFmtId="170" fontId="25" fillId="0" borderId="16" xfId="23" applyFont="true" applyBorder="true" applyAlignment="true" applyProtection="true">
      <alignment horizontal="center" vertical="top" textRotation="0" wrapText="false" indent="0" shrinkToFit="false"/>
      <protection locked="false" hidden="false"/>
    </xf>
    <xf numFmtId="167" fontId="25" fillId="0" borderId="16" xfId="23" applyFont="true" applyBorder="true" applyAlignment="true" applyProtection="true">
      <alignment horizontal="center" vertical="top" textRotation="0" wrapText="false" indent="0" shrinkToFit="false"/>
      <protection locked="false" hidden="false"/>
    </xf>
    <xf numFmtId="171" fontId="25" fillId="0" borderId="16" xfId="23" applyFont="true" applyBorder="true" applyAlignment="true" applyProtection="true">
      <alignment horizontal="center" vertical="top" textRotation="0" wrapText="false" indent="0" shrinkToFit="false"/>
      <protection locked="false" hidden="false"/>
    </xf>
    <xf numFmtId="166" fontId="25" fillId="0" borderId="16" xfId="23" applyFont="true" applyBorder="true" applyAlignment="true" applyProtection="true">
      <alignment horizontal="left" vertical="top" textRotation="0" wrapText="false" indent="0" shrinkToFit="false"/>
      <protection locked="false" hidden="false"/>
    </xf>
    <xf numFmtId="172" fontId="26" fillId="0" borderId="16" xfId="22" applyFont="true" applyBorder="true" applyAlignment="true" applyProtection="true">
      <alignment horizontal="right" vertical="top" textRotation="0" wrapText="true" indent="0" shrinkToFit="false"/>
      <protection locked="false" hidden="false"/>
    </xf>
    <xf numFmtId="172" fontId="26" fillId="0" borderId="16" xfId="22" applyFont="true" applyBorder="true" applyAlignment="true" applyProtection="true">
      <alignment horizontal="right" vertical="top" textRotation="0" wrapText="false" indent="0" shrinkToFit="false"/>
      <protection locked="false" hidden="false"/>
    </xf>
    <xf numFmtId="166" fontId="5" fillId="0" borderId="0" xfId="23" applyFont="true" applyBorder="true" applyAlignment="false" applyProtection="true">
      <alignment horizontal="general" vertical="bottom" textRotation="0" wrapText="false" indent="0" shrinkToFit="false"/>
      <protection locked="false" hidden="false"/>
    </xf>
    <xf numFmtId="166" fontId="5" fillId="0" borderId="0" xfId="23" applyFont="true" applyBorder="true" applyAlignment="true" applyProtection="true">
      <alignment horizontal="general" vertical="center" textRotation="0" wrapText="false" indent="0" shrinkToFit="false"/>
      <protection locked="false" hidden="false"/>
    </xf>
    <xf numFmtId="164" fontId="5" fillId="0" borderId="0" xfId="23" applyFont="true" applyBorder="true" applyAlignment="false" applyProtection="true">
      <alignment horizontal="general" vertical="bottom" textRotation="0" wrapText="false" indent="0" shrinkToFit="false"/>
      <protection locked="false" hidden="false"/>
    </xf>
    <xf numFmtId="164" fontId="27" fillId="0" borderId="0" xfId="21" applyFont="true" applyBorder="true" applyAlignment="true" applyProtection="true">
      <alignment horizontal="general" vertical="center" textRotation="0" wrapText="false" indent="0" shrinkToFit="false"/>
      <protection locked="true" hidden="false"/>
    </xf>
    <xf numFmtId="164" fontId="56" fillId="0" borderId="0" xfId="21" applyFont="true" applyBorder="true" applyAlignment="true" applyProtection="true">
      <alignment horizontal="general" vertical="center" textRotation="0" wrapText="false" indent="0" shrinkToFit="false"/>
      <protection locked="true" hidden="false"/>
    </xf>
    <xf numFmtId="164" fontId="27" fillId="0" borderId="0" xfId="21" applyFont="true" applyBorder="true" applyAlignment="true" applyProtection="true">
      <alignment horizontal="left" vertical="center" textRotation="0" wrapText="false" indent="0" shrinkToFit="false"/>
      <protection locked="true" hidden="false"/>
    </xf>
    <xf numFmtId="166" fontId="57" fillId="0" borderId="0" xfId="23" applyFont="true" applyBorder="true" applyAlignment="true" applyProtection="true">
      <alignment horizontal="general" vertical="center" textRotation="0" wrapText="false" indent="0" shrinkToFit="false"/>
      <protection locked="true" hidden="false"/>
    </xf>
    <xf numFmtId="166" fontId="5" fillId="0" borderId="0" xfId="23" applyFont="true" applyBorder="true" applyAlignment="true" applyProtection="true">
      <alignment horizontal="general" vertical="center" textRotation="0" wrapText="false" indent="0" shrinkToFit="false"/>
      <protection locked="true" hidden="false"/>
    </xf>
    <xf numFmtId="166" fontId="8" fillId="13" borderId="0" xfId="23" applyFont="true" applyBorder="true" applyAlignment="false" applyProtection="true">
      <alignment horizontal="general" vertical="bottom" textRotation="0" wrapText="false" indent="0" shrinkToFit="false"/>
      <protection locked="true" hidden="false"/>
    </xf>
    <xf numFmtId="166" fontId="7" fillId="13" borderId="0" xfId="23" applyFont="true" applyBorder="true" applyAlignment="true" applyProtection="true">
      <alignment horizontal="general" vertical="center" textRotation="0" wrapText="false" indent="0" shrinkToFit="false"/>
      <protection locked="true" hidden="false"/>
    </xf>
    <xf numFmtId="164" fontId="7" fillId="13" borderId="0" xfId="23" applyFont="true" applyBorder="true" applyAlignment="false" applyProtection="true">
      <alignment horizontal="general" vertical="bottom" textRotation="0" wrapText="false" indent="0" shrinkToFit="false"/>
      <protection locked="true" hidden="false"/>
    </xf>
    <xf numFmtId="166" fontId="58" fillId="13" borderId="0" xfId="23" applyFont="true" applyBorder="true" applyAlignment="true" applyProtection="true">
      <alignment horizontal="right" vertical="center" textRotation="0" wrapText="false" indent="0" shrinkToFit="false"/>
      <protection locked="true" hidden="false"/>
    </xf>
    <xf numFmtId="169" fontId="33" fillId="13" borderId="0" xfId="23" applyFont="true" applyBorder="true" applyAlignment="true" applyProtection="true">
      <alignment horizontal="general" vertical="center" textRotation="0" wrapText="false" indent="0" shrinkToFit="false"/>
      <protection locked="false" hidden="false"/>
    </xf>
    <xf numFmtId="166" fontId="58" fillId="13" borderId="0" xfId="23" applyFont="true" applyBorder="true" applyAlignment="true" applyProtection="true">
      <alignment horizontal="general" vertical="center" textRotation="0" wrapText="false" indent="0" shrinkToFit="false"/>
      <protection locked="true" hidden="false"/>
    </xf>
    <xf numFmtId="166" fontId="7" fillId="0" borderId="17" xfId="23" applyFont="true" applyBorder="true" applyAlignment="true" applyProtection="true">
      <alignment horizontal="general" vertical="top" textRotation="0" wrapText="false" indent="0" shrinkToFit="false"/>
      <protection locked="false" hidden="false"/>
    </xf>
    <xf numFmtId="166" fontId="7" fillId="0" borderId="17" xfId="23" applyFont="true" applyBorder="true" applyAlignment="true" applyProtection="true">
      <alignment horizontal="general" vertical="center" textRotation="0" wrapText="false" indent="0" shrinkToFit="false"/>
      <protection locked="false" hidden="false"/>
    </xf>
    <xf numFmtId="164" fontId="7" fillId="0" borderId="17" xfId="23" applyFont="true" applyBorder="true" applyAlignment="true" applyProtection="true">
      <alignment horizontal="general" vertical="top" textRotation="0" wrapText="false" indent="0" shrinkToFit="false"/>
      <protection locked="false" hidden="false"/>
    </xf>
    <xf numFmtId="164" fontId="7" fillId="0" borderId="17" xfId="23" applyFont="true" applyBorder="true" applyAlignment="true" applyProtection="true">
      <alignment horizontal="general" vertical="center" textRotation="0" wrapText="true" indent="0" shrinkToFit="false"/>
      <protection locked="false" hidden="false"/>
    </xf>
    <xf numFmtId="164" fontId="7" fillId="0" borderId="17" xfId="23" applyFont="true" applyBorder="true" applyAlignment="true" applyProtection="true">
      <alignment horizontal="general" vertical="center" textRotation="0" wrapText="false" indent="0" shrinkToFit="false"/>
      <protection locked="false" hidden="false"/>
    </xf>
    <xf numFmtId="164" fontId="7" fillId="0" borderId="0" xfId="23" applyFont="true" applyBorder="true" applyAlignment="true" applyProtection="true">
      <alignment horizontal="general" vertical="top" textRotation="0" wrapText="false" indent="0" shrinkToFit="false"/>
      <protection locked="false" hidden="false"/>
    </xf>
    <xf numFmtId="166" fontId="59" fillId="0" borderId="0" xfId="23" applyFont="true" applyBorder="true" applyAlignment="true" applyProtection="true">
      <alignment horizontal="right" vertical="top" textRotation="0" wrapText="false" indent="0" shrinkToFit="false"/>
      <protection locked="false" hidden="false"/>
    </xf>
    <xf numFmtId="175" fontId="7" fillId="14" borderId="18" xfId="23" applyFont="true" applyBorder="true" applyAlignment="true" applyProtection="true">
      <alignment horizontal="general" vertical="center" textRotation="0" wrapText="false" indent="0" shrinkToFit="false"/>
      <protection locked="false" hidden="false"/>
    </xf>
    <xf numFmtId="164" fontId="8" fillId="0" borderId="0" xfId="23" applyFont="true" applyBorder="true" applyAlignment="true" applyProtection="true">
      <alignment horizontal="general" vertical="top" textRotation="0" wrapText="false" indent="0" shrinkToFit="false"/>
      <protection locked="false" hidden="false"/>
    </xf>
    <xf numFmtId="164" fontId="7" fillId="0" borderId="0" xfId="23" applyFont="true" applyBorder="true" applyAlignment="true" applyProtection="true">
      <alignment horizontal="left" vertical="center" textRotation="0" wrapText="false" indent="0" shrinkToFit="false"/>
      <protection locked="false" hidden="false"/>
    </xf>
    <xf numFmtId="166" fontId="59" fillId="0" borderId="19" xfId="23" applyFont="true" applyBorder="true" applyAlignment="true" applyProtection="true">
      <alignment horizontal="right" vertical="top" textRotation="0" wrapText="false" indent="0" shrinkToFit="false"/>
      <protection locked="false" hidden="false"/>
    </xf>
    <xf numFmtId="166" fontId="7" fillId="0" borderId="19" xfId="23" applyFont="true" applyBorder="true" applyAlignment="true" applyProtection="true">
      <alignment horizontal="general" vertical="center" textRotation="0" wrapText="false" indent="0" shrinkToFit="false"/>
      <protection locked="false" hidden="false"/>
    </xf>
    <xf numFmtId="164" fontId="7" fillId="0" borderId="19" xfId="23" applyFont="true" applyBorder="true" applyAlignment="true" applyProtection="true">
      <alignment horizontal="general" vertical="top" textRotation="0" wrapText="false" indent="0" shrinkToFit="false"/>
      <protection locked="false" hidden="false"/>
    </xf>
    <xf numFmtId="164" fontId="7" fillId="0" borderId="19" xfId="23" applyFont="true" applyBorder="true" applyAlignment="true" applyProtection="true">
      <alignment horizontal="general" vertical="center" textRotation="0" wrapText="false" indent="0" shrinkToFit="false"/>
      <protection locked="false" hidden="false"/>
    </xf>
    <xf numFmtId="166" fontId="59" fillId="0" borderId="0" xfId="23" applyFont="true" applyBorder="true" applyAlignment="true" applyProtection="true">
      <alignment horizontal="general" vertical="top" textRotation="0" wrapText="false" indent="0" shrinkToFit="false"/>
      <protection locked="false" hidden="false"/>
    </xf>
    <xf numFmtId="166" fontId="7" fillId="0" borderId="0" xfId="23" applyFont="true" applyBorder="true" applyAlignment="true" applyProtection="true">
      <alignment horizontal="general" vertical="center" textRotation="0" wrapText="false" indent="0" shrinkToFit="false"/>
      <protection locked="false" hidden="false"/>
    </xf>
    <xf numFmtId="166" fontId="7" fillId="0" borderId="0" xfId="23" applyFont="true" applyBorder="true" applyAlignment="true" applyProtection="true">
      <alignment horizontal="general" vertical="top" textRotation="0" wrapText="false" indent="0" shrinkToFit="false"/>
      <protection locked="false" hidden="false"/>
    </xf>
    <xf numFmtId="164" fontId="7" fillId="0" borderId="0" xfId="23" applyFont="true" applyBorder="true" applyAlignment="true" applyProtection="true">
      <alignment horizontal="left" vertical="center" textRotation="0" wrapText="true" indent="0" shrinkToFit="false"/>
      <protection locked="false" hidden="false"/>
    </xf>
    <xf numFmtId="166" fontId="59" fillId="0" borderId="19" xfId="23" applyFont="true" applyBorder="true" applyAlignment="true" applyProtection="true">
      <alignment horizontal="general" vertical="top" textRotation="0" wrapText="false" indent="0" shrinkToFit="false"/>
      <protection locked="false" hidden="false"/>
    </xf>
    <xf numFmtId="164" fontId="7" fillId="0" borderId="19" xfId="23" applyFont="true" applyBorder="true" applyAlignment="true" applyProtection="true">
      <alignment horizontal="general" vertical="center" textRotation="0" wrapText="true" indent="0" shrinkToFit="false"/>
      <protection locked="false" hidden="false"/>
    </xf>
    <xf numFmtId="166" fontId="59" fillId="0" borderId="17" xfId="23" applyFont="true" applyBorder="true" applyAlignment="true" applyProtection="true">
      <alignment horizontal="general" vertical="center" textRotation="0" wrapText="true" indent="0" shrinkToFit="false"/>
      <protection locked="false" hidden="false"/>
    </xf>
    <xf numFmtId="166" fontId="59" fillId="0" borderId="0" xfId="23" applyFont="true" applyBorder="true" applyAlignment="true" applyProtection="true">
      <alignment horizontal="right" vertical="center" textRotation="0" wrapText="true" indent="0" shrinkToFit="false"/>
      <protection locked="false" hidden="false"/>
    </xf>
    <xf numFmtId="166" fontId="59" fillId="0" borderId="19" xfId="23" applyFont="true" applyBorder="true" applyAlignment="true" applyProtection="true">
      <alignment horizontal="general" vertical="center" textRotation="0" wrapText="true" indent="0" shrinkToFit="false"/>
      <protection locked="false" hidden="false"/>
    </xf>
    <xf numFmtId="164" fontId="7" fillId="0" borderId="19" xfId="23" applyFont="true" applyBorder="true" applyAlignment="false" applyProtection="true">
      <alignment horizontal="general" vertical="bottom" textRotation="0" wrapText="false" indent="0" shrinkToFit="false"/>
      <protection locked="false" hidden="false"/>
    </xf>
    <xf numFmtId="164" fontId="7" fillId="0" borderId="0" xfId="23" applyFont="true" applyBorder="true" applyAlignment="false" applyProtection="true">
      <alignment horizontal="general" vertical="bottom" textRotation="0" wrapText="false" indent="0" shrinkToFit="false"/>
      <protection locked="false" hidden="false"/>
    </xf>
    <xf numFmtId="166" fontId="7" fillId="0" borderId="0" xfId="23" applyFont="true" applyBorder="true" applyAlignment="false" applyProtection="true">
      <alignment horizontal="general" vertical="bottom" textRotation="0" wrapText="false" indent="0" shrinkToFit="false"/>
      <protection locked="false" hidden="false"/>
    </xf>
    <xf numFmtId="164" fontId="7" fillId="0" borderId="17" xfId="23" applyFont="true" applyBorder="true" applyAlignment="false" applyProtection="true">
      <alignment horizontal="general" vertical="bottom" textRotation="0" wrapText="false" indent="0" shrinkToFit="false"/>
      <protection locked="false" hidden="false"/>
    </xf>
    <xf numFmtId="166" fontId="59" fillId="0" borderId="17" xfId="23" applyFont="true" applyBorder="true" applyAlignment="false" applyProtection="true">
      <alignment horizontal="general" vertical="bottom" textRotation="0" wrapText="false" indent="0" shrinkToFit="false"/>
      <protection locked="false" hidden="false"/>
    </xf>
    <xf numFmtId="172" fontId="62" fillId="14" borderId="18" xfId="22" applyFont="true" applyBorder="true" applyAlignment="true" applyProtection="true">
      <alignment horizontal="general" vertical="center" textRotation="0" wrapText="false" indent="0" shrinkToFit="false"/>
      <protection locked="false" hidden="false"/>
    </xf>
    <xf numFmtId="166" fontId="59" fillId="0" borderId="17" xfId="23" applyFont="true" applyBorder="true" applyAlignment="true" applyProtection="true">
      <alignment horizontal="right" vertical="top" textRotation="0" wrapText="false" indent="0" shrinkToFit="false"/>
      <protection locked="false" hidden="false"/>
    </xf>
    <xf numFmtId="166" fontId="59" fillId="0" borderId="17" xfId="23" applyFont="true" applyBorder="true" applyAlignment="true" applyProtection="true">
      <alignment horizontal="general" vertical="top" textRotation="0" wrapText="false" indent="0" shrinkToFit="false"/>
      <protection locked="false" hidden="false"/>
    </xf>
    <xf numFmtId="172" fontId="62" fillId="14" borderId="18" xfId="22" applyFont="true" applyBorder="true" applyAlignment="true" applyProtection="true">
      <alignment horizontal="general" vertical="center" textRotation="0" wrapText="false" indent="0" shrinkToFit="false"/>
      <protection locked="true" hidden="false"/>
    </xf>
    <xf numFmtId="166" fontId="7" fillId="0" borderId="19" xfId="23" applyFont="true" applyBorder="true" applyAlignment="true" applyProtection="true">
      <alignment horizontal="right" vertical="top" textRotation="0" wrapText="false" indent="0" shrinkToFit="false"/>
      <protection locked="false" hidden="false"/>
    </xf>
    <xf numFmtId="166" fontId="5" fillId="0" borderId="0" xfId="23" applyFont="true" applyBorder="true" applyAlignment="true" applyProtection="true">
      <alignment horizontal="general" vertical="top" textRotation="0" wrapText="false" indent="0" shrinkToFit="false"/>
      <protection locked="false" hidden="false"/>
    </xf>
    <xf numFmtId="164" fontId="5" fillId="0" borderId="0" xfId="23" applyFont="true" applyBorder="true" applyAlignment="true" applyProtection="true">
      <alignment horizontal="general" vertical="top" textRotation="0" wrapText="false" indent="0" shrinkToFit="false"/>
      <protection locked="false" hidden="false"/>
    </xf>
    <xf numFmtId="175" fontId="63" fillId="0" borderId="0" xfId="22" applyFont="true" applyBorder="true" applyAlignment="true" applyProtection="true">
      <alignment horizontal="general" vertical="center" textRotation="0" wrapText="false" indent="0" shrinkToFit="false"/>
      <protection locked="false" hidden="false"/>
    </xf>
    <xf numFmtId="167" fontId="5" fillId="0" borderId="0" xfId="23" applyFont="true" applyBorder="true" applyAlignment="true" applyProtection="true">
      <alignment horizontal="general" vertical="center" textRotation="0" wrapText="false" indent="0" shrinkToFit="false"/>
      <protection locked="false" hidden="false"/>
    </xf>
    <xf numFmtId="169" fontId="5" fillId="0" borderId="0" xfId="23" applyFont="true" applyBorder="true" applyAlignment="true" applyProtection="true">
      <alignment horizontal="general" vertical="center" textRotation="0" wrapText="false" indent="0" shrinkToFit="false"/>
      <protection locked="false" hidden="false"/>
    </xf>
    <xf numFmtId="164" fontId="5" fillId="0" borderId="0" xfId="23" applyFont="true" applyBorder="true" applyAlignment="false" applyProtection="false">
      <alignment horizontal="general" vertical="bottom" textRotation="0" wrapText="false" indent="0" shrinkToFit="false"/>
      <protection locked="true" hidden="false"/>
    </xf>
    <xf numFmtId="164" fontId="64" fillId="0" borderId="0" xfId="23" applyFont="true" applyBorder="true" applyAlignment="true" applyProtection="false">
      <alignment horizontal="general" vertical="center" textRotation="0" wrapText="false" indent="0" shrinkToFit="false"/>
      <protection locked="true" hidden="false"/>
    </xf>
    <xf numFmtId="164" fontId="65" fillId="0" borderId="0" xfId="23" applyFont="true" applyBorder="true" applyAlignment="false" applyProtection="false">
      <alignment horizontal="general" vertical="bottom" textRotation="0" wrapText="false" indent="0" shrinkToFit="false"/>
      <protection locked="true" hidden="false"/>
    </xf>
    <xf numFmtId="164" fontId="5" fillId="15" borderId="7" xfId="23" applyFont="true" applyBorder="true" applyAlignment="true" applyProtection="false">
      <alignment horizontal="left" vertical="bottom" textRotation="0" wrapText="true" indent="0" shrinkToFit="false"/>
      <protection locked="true" hidden="false"/>
    </xf>
    <xf numFmtId="164" fontId="5" fillId="15" borderId="8" xfId="23" applyFont="true" applyBorder="true" applyAlignment="true" applyProtection="false">
      <alignment horizontal="left" vertical="bottom" textRotation="0" wrapText="true" indent="0" shrinkToFit="false"/>
      <protection locked="true" hidden="false"/>
    </xf>
    <xf numFmtId="164" fontId="5" fillId="15" borderId="9" xfId="23" applyFont="true" applyBorder="true" applyAlignment="true" applyProtection="false">
      <alignment horizontal="left" vertical="bottom" textRotation="0" wrapText="true" indent="0" shrinkToFit="false"/>
      <protection locked="true" hidden="false"/>
    </xf>
    <xf numFmtId="166" fontId="65" fillId="0" borderId="19" xfId="23" applyFont="true" applyBorder="true" applyAlignment="false" applyProtection="false">
      <alignment horizontal="general" vertical="bottom" textRotation="0" wrapText="false" indent="0" shrinkToFit="false"/>
      <protection locked="true" hidden="false"/>
    </xf>
    <xf numFmtId="164" fontId="5" fillId="0" borderId="19" xfId="23" applyFont="true" applyBorder="true" applyAlignment="false" applyProtection="false">
      <alignment horizontal="general" vertical="bottom" textRotation="0" wrapText="false" indent="0" shrinkToFit="false"/>
      <protection locked="true" hidden="false"/>
    </xf>
    <xf numFmtId="172" fontId="65" fillId="0" borderId="19" xfId="19" applyFont="true" applyBorder="true" applyAlignment="true" applyProtection="true">
      <alignment horizontal="general" vertical="bottom" textRotation="0" wrapText="false" indent="0" shrinkToFit="false"/>
      <protection locked="true" hidden="false"/>
    </xf>
    <xf numFmtId="166" fontId="65" fillId="0" borderId="20" xfId="23" applyFont="true" applyBorder="true" applyAlignment="false" applyProtection="false">
      <alignment horizontal="general" vertical="bottom" textRotation="0" wrapText="false" indent="0" shrinkToFit="false"/>
      <protection locked="true" hidden="false"/>
    </xf>
    <xf numFmtId="164" fontId="5" fillId="0" borderId="20" xfId="23" applyFont="true" applyBorder="true" applyAlignment="false" applyProtection="false">
      <alignment horizontal="general" vertical="bottom" textRotation="0" wrapText="false" indent="0" shrinkToFit="false"/>
      <protection locked="true" hidden="false"/>
    </xf>
    <xf numFmtId="172" fontId="65" fillId="0" borderId="20" xfId="19" applyFont="true" applyBorder="true" applyAlignment="true" applyProtection="true">
      <alignment horizontal="general" vertical="bottom" textRotation="0" wrapText="false" indent="0" shrinkToFit="false"/>
      <protection locked="true" hidden="false"/>
    </xf>
    <xf numFmtId="166" fontId="5" fillId="0" borderId="0" xfId="23" applyFont="true" applyBorder="false" applyAlignment="false" applyProtection="true">
      <alignment horizontal="general" vertical="bottom" textRotation="0" wrapText="false" indent="0" shrinkToFit="false"/>
      <protection locked="true" hidden="false"/>
    </xf>
    <xf numFmtId="166" fontId="5" fillId="13" borderId="0" xfId="23" applyFont="true" applyBorder="true" applyAlignment="true" applyProtection="true">
      <alignment horizontal="left" vertical="top" textRotation="0" wrapText="true" indent="0" shrinkToFit="false"/>
      <protection locked="true" hidden="false"/>
    </xf>
    <xf numFmtId="166" fontId="5" fillId="13" borderId="0" xfId="23" applyFont="true" applyBorder="false" applyAlignment="true" applyProtection="true">
      <alignment horizontal="general" vertical="top" textRotation="0" wrapText="false" indent="0" shrinkToFit="false"/>
      <protection locked="true" hidden="false"/>
    </xf>
    <xf numFmtId="166" fontId="67" fillId="16" borderId="5" xfId="23" applyFont="true" applyBorder="true" applyAlignment="true" applyProtection="true">
      <alignment horizontal="center" vertical="center" textRotation="0" wrapText="false" indent="0" shrinkToFit="false"/>
      <protection locked="false" hidden="false"/>
    </xf>
    <xf numFmtId="166" fontId="69" fillId="17" borderId="5" xfId="23" applyFont="true" applyBorder="true" applyAlignment="true" applyProtection="true">
      <alignment horizontal="center" vertical="center" textRotation="0" wrapText="false" indent="0" shrinkToFit="false"/>
      <protection locked="true" hidden="false"/>
    </xf>
    <xf numFmtId="166" fontId="5" fillId="0" borderId="0" xfId="23" applyFont="true" applyBorder="false" applyAlignment="true" applyProtection="true">
      <alignment horizontal="center" vertical="center" textRotation="0" wrapText="false" indent="0" shrinkToFit="false"/>
      <protection locked="true" hidden="false"/>
    </xf>
    <xf numFmtId="166" fontId="19" fillId="16" borderId="5" xfId="0" applyFont="true" applyBorder="true" applyAlignment="false" applyProtection="true">
      <alignment horizontal="general" vertical="bottom" textRotation="0" wrapText="false" indent="0" shrinkToFit="false"/>
      <protection locked="false" hidden="false"/>
    </xf>
    <xf numFmtId="166" fontId="19" fillId="0" borderId="5" xfId="0" applyFont="true" applyBorder="true" applyAlignment="false" applyProtection="true">
      <alignment horizontal="general" vertical="bottom" textRotation="0" wrapText="false" indent="0" shrinkToFit="false"/>
      <protection locked="false" hidden="false"/>
    </xf>
    <xf numFmtId="166" fontId="19" fillId="0" borderId="0" xfId="23" applyFont="true" applyBorder="false" applyAlignment="false" applyProtection="true">
      <alignment horizontal="general" vertical="bottom" textRotation="0" wrapText="false" indent="0" shrinkToFit="false"/>
      <protection locked="true" hidden="false"/>
    </xf>
    <xf numFmtId="166" fontId="19" fillId="16" borderId="5" xfId="23" applyFont="true" applyBorder="true" applyAlignment="false" applyProtection="true">
      <alignment horizontal="general" vertical="bottom" textRotation="0" wrapText="false" indent="0" shrinkToFit="false"/>
      <protection locked="false" hidden="false"/>
    </xf>
    <xf numFmtId="166" fontId="19" fillId="0" borderId="5" xfId="23" applyFont="true" applyBorder="true" applyAlignment="false" applyProtection="true">
      <alignment horizontal="general" vertical="bottom" textRotation="0" wrapText="false" indent="0" shrinkToFit="false"/>
      <protection locked="false" hidden="false"/>
    </xf>
    <xf numFmtId="164" fontId="70" fillId="0" borderId="0" xfId="23" applyFont="true" applyBorder="false" applyAlignment="false" applyProtection="false">
      <alignment horizontal="general" vertical="bottom" textRotation="0" wrapText="false" indent="0" shrinkToFit="false"/>
      <protection locked="true" hidden="false"/>
    </xf>
    <xf numFmtId="166" fontId="19" fillId="0" borderId="5" xfId="23" applyFont="true" applyBorder="true" applyAlignment="false" applyProtection="true">
      <alignment horizontal="general" vertical="bottom" textRotation="0" wrapText="false" indent="0" shrinkToFit="false"/>
      <protection locked="true" hidden="false"/>
    </xf>
    <xf numFmtId="164" fontId="71" fillId="0" borderId="0" xfId="0" applyFont="true" applyBorder="false" applyAlignment="true" applyProtection="false">
      <alignment horizontal="general" vertical="top" textRotation="0" wrapText="false" indent="0" shrinkToFit="false"/>
      <protection locked="true" hidden="false"/>
    </xf>
    <xf numFmtId="164" fontId="71" fillId="0" borderId="0" xfId="0" applyFont="true" applyBorder="false" applyAlignment="true" applyProtection="false">
      <alignment horizontal="center" vertical="top" textRotation="0" wrapText="false" indent="0" shrinkToFit="false"/>
      <protection locked="true" hidden="false"/>
    </xf>
    <xf numFmtId="164" fontId="72" fillId="0" borderId="0" xfId="0" applyFont="true" applyBorder="false" applyAlignment="true" applyProtection="false">
      <alignment horizontal="general" vertical="top" textRotation="0" wrapText="false" indent="0" shrinkToFit="false"/>
      <protection locked="true" hidden="false"/>
    </xf>
    <xf numFmtId="164" fontId="71" fillId="0" borderId="0" xfId="0" applyFont="true" applyBorder="false" applyAlignment="true" applyProtection="false">
      <alignment horizontal="general" vertical="top" textRotation="0" wrapText="true" indent="0" shrinkToFit="false"/>
      <protection locked="true" hidden="false"/>
    </xf>
    <xf numFmtId="164" fontId="47" fillId="17" borderId="7" xfId="23" applyFont="true" applyBorder="true" applyAlignment="true" applyProtection="false">
      <alignment horizontal="center" vertical="center" textRotation="0" wrapText="false" indent="0" shrinkToFit="false"/>
      <protection locked="true" hidden="false"/>
    </xf>
    <xf numFmtId="164" fontId="47" fillId="17" borderId="7" xfId="23" applyFont="true" applyBorder="true" applyAlignment="true" applyProtection="false">
      <alignment horizontal="center" vertical="center" textRotation="0" wrapText="true" indent="0" shrinkToFit="false"/>
      <protection locked="true" hidden="false"/>
    </xf>
    <xf numFmtId="164" fontId="71" fillId="0" borderId="0" xfId="24" applyFont="true" applyBorder="true" applyAlignment="true" applyProtection="false">
      <alignment horizontal="left" vertical="top" textRotation="0" wrapText="true" indent="0" shrinkToFit="false"/>
      <protection locked="true" hidden="false"/>
    </xf>
    <xf numFmtId="164" fontId="71" fillId="0" borderId="0" xfId="24" applyFont="true" applyBorder="true" applyAlignment="true" applyProtection="false">
      <alignment horizontal="left" vertical="top" textRotation="0" wrapText="false" indent="0" shrinkToFit="false"/>
      <protection locked="true" hidden="false"/>
    </xf>
    <xf numFmtId="164" fontId="72" fillId="0" borderId="0" xfId="24" applyFont="true" applyBorder="true" applyAlignment="true" applyProtection="false">
      <alignment horizontal="left" vertical="top" textRotation="0" wrapText="false" indent="0" shrinkToFit="false"/>
      <protection locked="true" hidden="false"/>
    </xf>
    <xf numFmtId="164" fontId="73" fillId="0" borderId="0" xfId="23" applyFont="true" applyBorder="false" applyAlignment="true" applyProtection="false">
      <alignment horizontal="general" vertical="top" textRotation="0" wrapText="false" indent="0" shrinkToFit="false"/>
      <protection locked="true" hidden="false"/>
    </xf>
    <xf numFmtId="166" fontId="71" fillId="0" borderId="0" xfId="24" applyFont="true" applyBorder="true" applyAlignment="true" applyProtection="false">
      <alignment horizontal="left" vertical="top" textRotation="0" wrapText="true" indent="0" shrinkToFit="false"/>
      <protection locked="true" hidden="false"/>
    </xf>
    <xf numFmtId="164" fontId="73" fillId="0" borderId="0" xfId="24" applyFont="true" applyBorder="true" applyAlignment="true" applyProtection="false">
      <alignment horizontal="left" vertical="top" textRotation="0" wrapText="false" indent="0" shrinkToFit="false"/>
      <protection locked="true" hidden="false"/>
    </xf>
    <xf numFmtId="164" fontId="72" fillId="0" borderId="0" xfId="24" applyFont="true" applyBorder="true" applyAlignment="true" applyProtection="false">
      <alignment horizontal="left" vertical="top" textRotation="0" wrapText="true" indent="0" shrinkToFit="false"/>
      <protection locked="true" hidden="false"/>
    </xf>
    <xf numFmtId="164" fontId="71" fillId="0" borderId="0" xfId="0" applyFont="true" applyBorder="false" applyAlignment="true" applyProtection="false">
      <alignment horizontal="general" vertical="bottom" textRotation="0" wrapText="false" indent="0" shrinkToFit="false"/>
      <protection locked="true" hidden="false"/>
    </xf>
    <xf numFmtId="164" fontId="5" fillId="0" borderId="0" xfId="23" applyFont="true" applyBorder="true" applyAlignment="true" applyProtection="true">
      <alignment horizontal="right" vertical="bottom" textRotation="0" wrapText="false" indent="0" shrinkToFit="false"/>
      <protection locked="false" hidden="false"/>
    </xf>
    <xf numFmtId="164" fontId="5" fillId="0" borderId="0" xfId="23" applyFont="true" applyBorder="true" applyAlignment="true" applyProtection="true">
      <alignment horizontal="left" vertical="bottom" textRotation="0" wrapText="false" indent="0" shrinkToFit="false"/>
      <protection locked="false" hidden="false"/>
    </xf>
    <xf numFmtId="172" fontId="5" fillId="0" borderId="0" xfId="23" applyFont="true" applyBorder="true" applyAlignment="false" applyProtection="true">
      <alignment horizontal="general" vertical="bottom" textRotation="0" wrapText="false" indent="0" shrinkToFit="false"/>
      <protection locked="false" hidden="false"/>
    </xf>
    <xf numFmtId="164" fontId="74" fillId="0" borderId="0" xfId="23" applyFont="true" applyBorder="true" applyAlignment="true" applyProtection="true">
      <alignment horizontal="center" vertical="bottom" textRotation="0" wrapText="false" indent="0" shrinkToFit="false"/>
      <protection locked="false" hidden="false"/>
    </xf>
    <xf numFmtId="172" fontId="74" fillId="0" borderId="0" xfId="23" applyFont="true" applyBorder="true" applyAlignment="true" applyProtection="true">
      <alignment horizontal="center" vertical="bottom" textRotation="0" wrapText="false" indent="0" shrinkToFit="false"/>
      <protection locked="false" hidden="false"/>
    </xf>
    <xf numFmtId="164" fontId="74" fillId="0" borderId="0" xfId="23" applyFont="true" applyBorder="true" applyAlignment="true" applyProtection="true">
      <alignment horizontal="right" vertical="bottom" textRotation="0" wrapText="false" indent="0" shrinkToFit="false"/>
      <protection locked="false" hidden="false"/>
    </xf>
    <xf numFmtId="166" fontId="74" fillId="0" borderId="0" xfId="23" applyFont="true" applyBorder="true" applyAlignment="true" applyProtection="true">
      <alignment horizontal="right" vertical="bottom" textRotation="0" wrapText="false" indent="0" shrinkToFit="false"/>
      <protection locked="false" hidden="false"/>
    </xf>
    <xf numFmtId="166" fontId="74" fillId="0" borderId="0" xfId="23" applyFont="true" applyBorder="true" applyAlignment="true" applyProtection="true">
      <alignment horizontal="left" vertical="bottom" textRotation="0" wrapText="false" indent="0" shrinkToFit="false"/>
      <protection locked="fals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0" fillId="3" borderId="0" xfId="0" applyFont="true" applyBorder="false" applyAlignment="false" applyProtection="false">
      <alignment horizontal="general" vertical="bottom" textRotation="0" wrapText="false" indent="0" shrinkToFit="false"/>
      <protection locked="true" hidden="false"/>
    </xf>
    <xf numFmtId="166" fontId="0" fillId="3" borderId="0" xfId="0" applyFont="tru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72" fontId="0" fillId="0" borderId="0" xfId="0" applyFont="false" applyBorder="false" applyAlignment="false" applyProtection="false">
      <alignment horizontal="general" vertical="bottom" textRotation="0" wrapText="false" indent="0" shrinkToFit="false"/>
      <protection locked="true" hidden="false"/>
    </xf>
  </cellXfs>
  <cellStyles count="11">
    <cellStyle name="Normal" xfId="0" builtinId="0"/>
    <cellStyle name="Comma" xfId="15" builtinId="3"/>
    <cellStyle name="Comma [0]" xfId="16" builtinId="6"/>
    <cellStyle name="Currency" xfId="17" builtinId="4"/>
    <cellStyle name="Currency [0]" xfId="18" builtinId="7"/>
    <cellStyle name="Percent" xfId="19" builtinId="5"/>
    <cellStyle name="강조색5 2" xfId="21"/>
    <cellStyle name="백분율 2" xfId="22"/>
    <cellStyle name="표준 2" xfId="23"/>
    <cellStyle name="표준 2 2" xfId="24"/>
    <cellStyle name="*unknown*" xfId="20" builtinId="8"/>
  </cellStyles>
  <dxfs count="3">
    <dxf>
      <font>
        <color rgb="FFA6A6A6"/>
      </font>
    </dxf>
    <dxf>
      <font>
        <b val="1"/>
        <i val="0"/>
      </font>
      <fill>
        <patternFill>
          <bgColor rgb="FFF2F2F2"/>
        </patternFill>
      </fill>
      <border diagonalUp="false" diagonalDown="false">
        <left style="thin"/>
        <right style="thin"/>
        <top style="thin"/>
        <bottom style="thin"/>
        <diagonal/>
      </border>
    </dxf>
    <dxf>
      <fill>
        <patternFill>
          <bgColor rgb="FFFFC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70C0"/>
      <rgbColor rgb="FFA6A6A6"/>
      <rgbColor rgb="FF8B8B8B"/>
      <rgbColor rgb="FF5B9BD5"/>
      <rgbColor rgb="FF993366"/>
      <rgbColor rgb="FFF2F2F2"/>
      <rgbColor rgb="FFDEEBF7"/>
      <rgbColor rgb="FF660066"/>
      <rgbColor rgb="FFED7D31"/>
      <rgbColor rgb="FF0563C1"/>
      <rgbColor rgb="FFD9D9D9"/>
      <rgbColor rgb="FF000080"/>
      <rgbColor rgb="FFFF00FF"/>
      <rgbColor rgb="FFFFFF00"/>
      <rgbColor rgb="FF00FFFF"/>
      <rgbColor rgb="FF800080"/>
      <rgbColor rgb="FF800000"/>
      <rgbColor rgb="FF198CFF"/>
      <rgbColor rgb="FF0000FF"/>
      <rgbColor rgb="FF00B0F0"/>
      <rgbColor rgb="FFF2F2FF"/>
      <rgbColor rgb="FFEAEAEA"/>
      <rgbColor rgb="FFE7E6E6"/>
      <rgbColor rgb="FF99CCFF"/>
      <rgbColor rgb="FFFF99CC"/>
      <rgbColor rgb="FFCC99FF"/>
      <rgbColor rgb="FFFFCC99"/>
      <rgbColor rgb="FF4472C4"/>
      <rgbColor rgb="FF3399FF"/>
      <rgbColor rgb="FF99CC00"/>
      <rgbColor rgb="FFFFC000"/>
      <rgbColor rgb="FFFF8800"/>
      <rgbColor rgb="FFFF6600"/>
      <rgbColor rgb="FF595959"/>
      <rgbColor rgb="FFA5A5A5"/>
      <rgbColor rgb="FF003366"/>
      <rgbColor rgb="FF00A44A"/>
      <rgbColor rgb="FF003300"/>
      <rgbColor rgb="FF222222"/>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plotArea>
      <c:lineChart>
        <c:grouping val="standard"/>
        <c:varyColors val="0"/>
        <c:ser>
          <c:idx val="0"/>
          <c:order val="0"/>
          <c:tx>
            <c:strRef>
              <c:f>AnalysisReport!$F$6</c:f>
              <c:strCache>
                <c:ptCount val="1"/>
                <c:pt idx="0">
                  <c:v>계획작업량 진척율</c:v>
                </c:pt>
              </c:strCache>
            </c:strRef>
          </c:tx>
          <c:spPr>
            <a:solidFill>
              <a:srgbClr val="5b9bd5"/>
            </a:solidFill>
            <a:ln w="19080">
              <a:solidFill>
                <a:srgbClr val="5b9bd5"/>
              </a:solidFill>
              <a:round/>
            </a:ln>
          </c:spPr>
          <c:marker>
            <c:symbol val="square"/>
            <c:size val="5"/>
            <c:spPr>
              <a:solidFill>
                <a:srgbClr val="5b9bd5"/>
              </a:solidFill>
            </c:spPr>
          </c:marker>
          <c:dLbls>
            <c:numFmt formatCode="0.00%" sourceLinked="1"/>
            <c:txPr>
              <a:bodyPr/>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0"/>
          </c:dLbls>
          <c:cat>
            <c:strRef>
              <c:f>AnalysisReport!$C$7:$C$28</c:f>
              <c:strCache>
                <c:ptCount val="22"/>
                <c:pt idx="0">
                  <c:v>2019-08-24</c:v>
                </c:pt>
                <c:pt idx="1">
                  <c:v>2019-08-31</c:v>
                </c:pt>
                <c:pt idx="2">
                  <c:v>2019-09-07</c:v>
                </c:pt>
                <c:pt idx="3">
                  <c:v>2019-09-14</c:v>
                </c:pt>
                <c:pt idx="4">
                  <c:v>2019-09-21</c:v>
                </c:pt>
                <c:pt idx="5">
                  <c:v>2019-09-28</c:v>
                </c:pt>
                <c:pt idx="6">
                  <c:v>2019-10-05</c:v>
                </c:pt>
                <c:pt idx="7">
                  <c:v>2019-10-12</c:v>
                </c:pt>
                <c:pt idx="8">
                  <c:v>2019-10-19</c:v>
                </c:pt>
                <c:pt idx="9">
                  <c:v>2019-10-26</c:v>
                </c:pt>
                <c:pt idx="10">
                  <c:v>2019-11-02</c:v>
                </c:pt>
                <c:pt idx="11">
                  <c:v>2019-11-09</c:v>
                </c:pt>
                <c:pt idx="12">
                  <c:v>2019-11-16</c:v>
                </c:pt>
                <c:pt idx="13">
                  <c:v>2019-11-23</c:v>
                </c:pt>
                <c:pt idx="14">
                  <c:v>2019-11-30</c:v>
                </c:pt>
                <c:pt idx="15">
                  <c:v>2019-12-07</c:v>
                </c:pt>
                <c:pt idx="16">
                  <c:v>2019-12-14</c:v>
                </c:pt>
                <c:pt idx="17">
                  <c:v>2019-12-21</c:v>
                </c:pt>
                <c:pt idx="18">
                  <c:v>2019-12-28</c:v>
                </c:pt>
                <c:pt idx="19">
                  <c:v>2020-01-04</c:v>
                </c:pt>
                <c:pt idx="20">
                  <c:v>2020-01-11</c:v>
                </c:pt>
                <c:pt idx="21">
                  <c:v>2020-01-18</c:v>
                </c:pt>
              </c:strCache>
            </c:strRef>
          </c:cat>
          <c:val>
            <c:numRef>
              <c:f>AnalysisReport!$F$7:$F$28</c:f>
              <c:numCache>
                <c:formatCode>General</c:formatCode>
                <c:ptCount val="22"/>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numCache>
            </c:numRef>
          </c:val>
          <c:smooth val="0"/>
        </c:ser>
        <c:ser>
          <c:idx val="1"/>
          <c:order val="1"/>
          <c:tx>
            <c:strRef>
              <c:f>AnalysisReport!$I$6</c:f>
              <c:strCache>
                <c:ptCount val="1"/>
                <c:pt idx="0">
                  <c:v>실적기성 진척율</c:v>
                </c:pt>
              </c:strCache>
            </c:strRef>
          </c:tx>
          <c:spPr>
            <a:solidFill>
              <a:srgbClr val="ed7d31"/>
            </a:solidFill>
            <a:ln w="19080">
              <a:solidFill>
                <a:srgbClr val="ed7d31"/>
              </a:solidFill>
              <a:round/>
            </a:ln>
          </c:spPr>
          <c:marker>
            <c:symbol val="square"/>
            <c:size val="5"/>
            <c:spPr>
              <a:solidFill>
                <a:srgbClr val="ed7d31"/>
              </a:solidFill>
            </c:spPr>
          </c:marker>
          <c:dLbls>
            <c:numFmt formatCode="0.00%" sourceLinked="1"/>
            <c:txPr>
              <a:bodyPr/>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0"/>
          </c:dLbls>
          <c:cat>
            <c:strRef>
              <c:f>AnalysisReport!$C$7:$C$28</c:f>
              <c:strCache>
                <c:ptCount val="22"/>
                <c:pt idx="0">
                  <c:v>2019-08-24</c:v>
                </c:pt>
                <c:pt idx="1">
                  <c:v>2019-08-31</c:v>
                </c:pt>
                <c:pt idx="2">
                  <c:v>2019-09-07</c:v>
                </c:pt>
                <c:pt idx="3">
                  <c:v>2019-09-14</c:v>
                </c:pt>
                <c:pt idx="4">
                  <c:v>2019-09-21</c:v>
                </c:pt>
                <c:pt idx="5">
                  <c:v>2019-09-28</c:v>
                </c:pt>
                <c:pt idx="6">
                  <c:v>2019-10-05</c:v>
                </c:pt>
                <c:pt idx="7">
                  <c:v>2019-10-12</c:v>
                </c:pt>
                <c:pt idx="8">
                  <c:v>2019-10-19</c:v>
                </c:pt>
                <c:pt idx="9">
                  <c:v>2019-10-26</c:v>
                </c:pt>
                <c:pt idx="10">
                  <c:v>2019-11-02</c:v>
                </c:pt>
                <c:pt idx="11">
                  <c:v>2019-11-09</c:v>
                </c:pt>
                <c:pt idx="12">
                  <c:v>2019-11-16</c:v>
                </c:pt>
                <c:pt idx="13">
                  <c:v>2019-11-23</c:v>
                </c:pt>
                <c:pt idx="14">
                  <c:v>2019-11-30</c:v>
                </c:pt>
                <c:pt idx="15">
                  <c:v>2019-12-07</c:v>
                </c:pt>
                <c:pt idx="16">
                  <c:v>2019-12-14</c:v>
                </c:pt>
                <c:pt idx="17">
                  <c:v>2019-12-21</c:v>
                </c:pt>
                <c:pt idx="18">
                  <c:v>2019-12-28</c:v>
                </c:pt>
                <c:pt idx="19">
                  <c:v>2020-01-04</c:v>
                </c:pt>
                <c:pt idx="20">
                  <c:v>2020-01-11</c:v>
                </c:pt>
                <c:pt idx="21">
                  <c:v>2020-01-18</c:v>
                </c:pt>
              </c:strCache>
            </c:strRef>
          </c:cat>
          <c:val>
            <c:numRef>
              <c:f>AnalysisReport!$I$7:$I$28</c:f>
              <c:numCache>
                <c:formatCode>General</c:formatCode>
                <c:ptCount val="22"/>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numCache>
            </c:numRef>
          </c:val>
          <c:smooth val="0"/>
        </c:ser>
        <c:ser>
          <c:idx val="2"/>
          <c:order val="2"/>
          <c:tx>
            <c:strRef>
              <c:f>AnalysisReport!$L$6</c:f>
              <c:strCache>
                <c:ptCount val="1"/>
                <c:pt idx="0">
                  <c:v>실제작업량 진척율</c:v>
                </c:pt>
              </c:strCache>
            </c:strRef>
          </c:tx>
          <c:spPr>
            <a:solidFill>
              <a:srgbClr val="a5a5a5"/>
            </a:solidFill>
            <a:ln w="19080">
              <a:solidFill>
                <a:srgbClr val="a5a5a5"/>
              </a:solidFill>
              <a:round/>
            </a:ln>
          </c:spPr>
          <c:marker>
            <c:symbol val="square"/>
            <c:size val="5"/>
            <c:spPr>
              <a:solidFill>
                <a:srgbClr val="a5a5a5"/>
              </a:solidFill>
            </c:spPr>
          </c:marker>
          <c:dLbls>
            <c:numFmt formatCode="0.00%" sourceLinked="1"/>
            <c:txPr>
              <a:bodyPr/>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0"/>
          </c:dLbls>
          <c:cat>
            <c:strRef>
              <c:f>AnalysisReport!$C$7:$C$28</c:f>
              <c:strCache>
                <c:ptCount val="22"/>
                <c:pt idx="0">
                  <c:v>2019-08-24</c:v>
                </c:pt>
                <c:pt idx="1">
                  <c:v>2019-08-31</c:v>
                </c:pt>
                <c:pt idx="2">
                  <c:v>2019-09-07</c:v>
                </c:pt>
                <c:pt idx="3">
                  <c:v>2019-09-14</c:v>
                </c:pt>
                <c:pt idx="4">
                  <c:v>2019-09-21</c:v>
                </c:pt>
                <c:pt idx="5">
                  <c:v>2019-09-28</c:v>
                </c:pt>
                <c:pt idx="6">
                  <c:v>2019-10-05</c:v>
                </c:pt>
                <c:pt idx="7">
                  <c:v>2019-10-12</c:v>
                </c:pt>
                <c:pt idx="8">
                  <c:v>2019-10-19</c:v>
                </c:pt>
                <c:pt idx="9">
                  <c:v>2019-10-26</c:v>
                </c:pt>
                <c:pt idx="10">
                  <c:v>2019-11-02</c:v>
                </c:pt>
                <c:pt idx="11">
                  <c:v>2019-11-09</c:v>
                </c:pt>
                <c:pt idx="12">
                  <c:v>2019-11-16</c:v>
                </c:pt>
                <c:pt idx="13">
                  <c:v>2019-11-23</c:v>
                </c:pt>
                <c:pt idx="14">
                  <c:v>2019-11-30</c:v>
                </c:pt>
                <c:pt idx="15">
                  <c:v>2019-12-07</c:v>
                </c:pt>
                <c:pt idx="16">
                  <c:v>2019-12-14</c:v>
                </c:pt>
                <c:pt idx="17">
                  <c:v>2019-12-21</c:v>
                </c:pt>
                <c:pt idx="18">
                  <c:v>2019-12-28</c:v>
                </c:pt>
                <c:pt idx="19">
                  <c:v>2020-01-04</c:v>
                </c:pt>
                <c:pt idx="20">
                  <c:v>2020-01-11</c:v>
                </c:pt>
                <c:pt idx="21">
                  <c:v>2020-01-18</c:v>
                </c:pt>
              </c:strCache>
            </c:strRef>
          </c:cat>
          <c:val>
            <c:numRef>
              <c:f>AnalysisReport!$L$7:$L$28</c:f>
              <c:numCache>
                <c:formatCode>General</c:formatCode>
                <c:ptCount val="22"/>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numCache>
            </c:numRef>
          </c:val>
          <c:smooth val="0"/>
        </c:ser>
        <c:hiLowLines>
          <c:spPr>
            <a:ln>
              <a:noFill/>
            </a:ln>
          </c:spPr>
        </c:hiLowLines>
        <c:marker val="1"/>
        <c:axId val="8872134"/>
        <c:axId val="26449692"/>
      </c:lineChart>
      <c:catAx>
        <c:axId val="8872134"/>
        <c:scaling>
          <c:orientation val="minMax"/>
        </c:scaling>
        <c:delete val="0"/>
        <c:axPos val="b"/>
        <c:numFmt formatCode="[$-412]YYYY\-MM\-DD" sourceLinked="1"/>
        <c:majorTickMark val="out"/>
        <c:minorTickMark val="none"/>
        <c:tickLblPos val="nextTo"/>
        <c:spPr>
          <a:ln w="6480">
            <a:solidFill>
              <a:srgbClr val="8b8b8b"/>
            </a:solidFill>
            <a:round/>
          </a:ln>
        </c:spPr>
        <c:txPr>
          <a:bodyPr rot="-2700000"/>
          <a:lstStyle/>
          <a:p>
            <a:pPr>
              <a:defRPr b="0" sz="1000" spc="-1" strike="noStrike">
                <a:solidFill>
                  <a:srgbClr val="000000"/>
                </a:solidFill>
                <a:latin typeface="Calibri"/>
              </a:defRPr>
            </a:pPr>
          </a:p>
        </c:txPr>
        <c:crossAx val="26449692"/>
        <c:crosses val="autoZero"/>
        <c:auto val="1"/>
        <c:lblAlgn val="ctr"/>
        <c:lblOffset val="100"/>
      </c:catAx>
      <c:valAx>
        <c:axId val="26449692"/>
        <c:scaling>
          <c:orientation val="minMax"/>
        </c:scaling>
        <c:delete val="0"/>
        <c:axPos val="l"/>
        <c:majorGridlines>
          <c:spPr>
            <a:ln w="6480">
              <a:solidFill>
                <a:srgbClr val="8b8b8b"/>
              </a:solidFill>
              <a:round/>
            </a:ln>
          </c:spPr>
        </c:majorGridlines>
        <c:numFmt formatCode="0.00%" sourceLinked="0"/>
        <c:majorTickMark val="out"/>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8872134"/>
        <c:crosses val="autoZero"/>
        <c:crossBetween val="midCat"/>
      </c:valAx>
      <c:spPr>
        <a:solidFill>
          <a:srgbClr val="ffffff"/>
        </a:solidFill>
        <a:ln>
          <a:noFill/>
        </a:ln>
      </c:spPr>
    </c:plotArea>
    <c:legend>
      <c:legendPos val="r"/>
      <c:overlay val="0"/>
      <c:spPr>
        <a:noFill/>
        <a:ln>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a:noFill/>
    </a:ln>
  </c:spPr>
</c:chartSpace>
</file>

<file path=xl/drawings/_rels/drawing2.xml.rels><?xml version="1.0" encoding="UTF-8"?>
<Relationships xmlns="http://schemas.openxmlformats.org/package/2006/relationships"><Relationship Id="rId1" Type="http://schemas.openxmlformats.org/officeDocument/2006/relationships/chart" Target="../charts/chart1.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3</xdr:col>
      <xdr:colOff>12600</xdr:colOff>
      <xdr:row>0</xdr:row>
      <xdr:rowOff>12600</xdr:rowOff>
    </xdr:from>
    <xdr:to>
      <xdr:col>3</xdr:col>
      <xdr:colOff>12960</xdr:colOff>
      <xdr:row>0</xdr:row>
      <xdr:rowOff>12960</xdr:rowOff>
    </xdr:to>
    <xdr:sp>
      <xdr:nvSpPr>
        <xdr:cNvPr id="0" name="CustomShape 1" hidden="1"/>
        <xdr:cNvSpPr/>
      </xdr:nvSpPr>
      <xdr:spPr>
        <a:xfrm>
          <a:off x="12600" y="12600"/>
          <a:ext cx="360" cy="360"/>
        </a:xfrm>
        <a:prstGeom prst="bentConnector3">
          <a:avLst>
            <a:gd name="adj1" fmla="val 50000"/>
          </a:avLst>
        </a:prstGeom>
        <a:noFill/>
        <a:ln>
          <a:noFill/>
        </a:ln>
      </xdr:spPr>
      <xdr:style>
        <a:lnRef idx="1">
          <a:schemeClr val="accent1"/>
        </a:lnRef>
        <a:fillRef idx="0">
          <a:schemeClr val="accent1"/>
        </a:fillRef>
        <a:effectRef idx="0">
          <a:schemeClr val="accent1"/>
        </a:effectRef>
        <a:fontRef idx="minor"/>
      </xdr:style>
    </xdr:sp>
    <xdr:clientData/>
  </xdr:twoCellAnchor>
  <xdr:twoCellAnchor editAs="twoCell">
    <xdr:from>
      <xdr:col>3</xdr:col>
      <xdr:colOff>12600</xdr:colOff>
      <xdr:row>0</xdr:row>
      <xdr:rowOff>12600</xdr:rowOff>
    </xdr:from>
    <xdr:to>
      <xdr:col>3</xdr:col>
      <xdr:colOff>12960</xdr:colOff>
      <xdr:row>0</xdr:row>
      <xdr:rowOff>12960</xdr:rowOff>
    </xdr:to>
    <xdr:sp>
      <xdr:nvSpPr>
        <xdr:cNvPr id="1" name="CustomShape 1" hidden="1"/>
        <xdr:cNvSpPr/>
      </xdr:nvSpPr>
      <xdr:spPr>
        <a:xfrm>
          <a:off x="12600" y="12600"/>
          <a:ext cx="360" cy="360"/>
        </a:xfrm>
        <a:prstGeom prst="bentConnector3">
          <a:avLst>
            <a:gd name="adj1" fmla="val 50000"/>
          </a:avLst>
        </a:prstGeom>
        <a:noFill/>
        <a:ln>
          <a:noFill/>
        </a:ln>
      </xdr:spPr>
      <xdr:style>
        <a:lnRef idx="1">
          <a:schemeClr val="accent1"/>
        </a:lnRef>
        <a:fillRef idx="0">
          <a:schemeClr val="accent1"/>
        </a:fillRef>
        <a:effectRef idx="0">
          <a:schemeClr val="accent1"/>
        </a:effectRef>
        <a:fontRef idx="minor"/>
      </xdr:style>
    </xdr:sp>
    <xdr:clientData/>
  </xdr:twoCellAnchor>
  <xdr:twoCellAnchor editAs="twoCell">
    <xdr:from>
      <xdr:col>3</xdr:col>
      <xdr:colOff>12600</xdr:colOff>
      <xdr:row>0</xdr:row>
      <xdr:rowOff>12600</xdr:rowOff>
    </xdr:from>
    <xdr:to>
      <xdr:col>3</xdr:col>
      <xdr:colOff>12960</xdr:colOff>
      <xdr:row>0</xdr:row>
      <xdr:rowOff>12960</xdr:rowOff>
    </xdr:to>
    <xdr:sp>
      <xdr:nvSpPr>
        <xdr:cNvPr id="2" name="CustomShape 1" hidden="1"/>
        <xdr:cNvSpPr/>
      </xdr:nvSpPr>
      <xdr:spPr>
        <a:xfrm>
          <a:off x="12600" y="12600"/>
          <a:ext cx="360" cy="360"/>
        </a:xfrm>
        <a:prstGeom prst="bentConnector3">
          <a:avLst>
            <a:gd name="adj1" fmla="val 50000"/>
          </a:avLst>
        </a:prstGeom>
        <a:noFill/>
        <a:ln>
          <a:noFill/>
        </a:ln>
      </xdr:spPr>
      <xdr:style>
        <a:lnRef idx="1">
          <a:schemeClr val="accent1"/>
        </a:lnRef>
        <a:fillRef idx="0">
          <a:schemeClr val="accent1"/>
        </a:fillRef>
        <a:effectRef idx="0">
          <a:schemeClr val="accent1"/>
        </a:effectRef>
        <a:fontRef idx="minor"/>
      </xdr:style>
    </xdr:sp>
    <xdr:clientData/>
  </xdr:twoCellAnchor>
  <xdr:twoCellAnchor editAs="twoCell">
    <xdr:from>
      <xdr:col>3</xdr:col>
      <xdr:colOff>12600</xdr:colOff>
      <xdr:row>0</xdr:row>
      <xdr:rowOff>12600</xdr:rowOff>
    </xdr:from>
    <xdr:to>
      <xdr:col>3</xdr:col>
      <xdr:colOff>12960</xdr:colOff>
      <xdr:row>0</xdr:row>
      <xdr:rowOff>12960</xdr:rowOff>
    </xdr:to>
    <xdr:sp>
      <xdr:nvSpPr>
        <xdr:cNvPr id="3" name="CustomShape 1" hidden="1"/>
        <xdr:cNvSpPr/>
      </xdr:nvSpPr>
      <xdr:spPr>
        <a:xfrm>
          <a:off x="12600" y="12600"/>
          <a:ext cx="360" cy="360"/>
        </a:xfrm>
        <a:prstGeom prst="bentConnector3">
          <a:avLst>
            <a:gd name="adj1" fmla="val 50000"/>
          </a:avLst>
        </a:prstGeom>
        <a:noFill/>
        <a:ln>
          <a:noFill/>
        </a:ln>
      </xdr:spPr>
      <xdr:style>
        <a:lnRef idx="1">
          <a:schemeClr val="accent1"/>
        </a:lnRef>
        <a:fillRef idx="0">
          <a:schemeClr val="accent1"/>
        </a:fillRef>
        <a:effectRef idx="0">
          <a:schemeClr val="accent1"/>
        </a:effectRef>
        <a:fontRef idx="minor"/>
      </xdr:style>
    </xdr:sp>
    <xdr:clientData/>
  </xdr:twoCellAnchor>
  <xdr:twoCellAnchor editAs="twoCell">
    <xdr:from>
      <xdr:col>47</xdr:col>
      <xdr:colOff>360</xdr:colOff>
      <xdr:row>4</xdr:row>
      <xdr:rowOff>-360</xdr:rowOff>
    </xdr:from>
    <xdr:to>
      <xdr:col>47</xdr:col>
      <xdr:colOff>720</xdr:colOff>
      <xdr:row>53</xdr:row>
      <xdr:rowOff>68400</xdr:rowOff>
    </xdr:to>
    <xdr:sp>
      <xdr:nvSpPr>
        <xdr:cNvPr id="4" name="CustomShape 1"/>
        <xdr:cNvSpPr/>
      </xdr:nvSpPr>
      <xdr:spPr>
        <a:xfrm>
          <a:off x="12145680" y="762120"/>
          <a:ext cx="360" cy="8034120"/>
        </a:xfrm>
        <a:custGeom>
          <a:avLst/>
          <a:gdLst/>
          <a:ahLst/>
          <a:rect l="l" t="t" r="r" b="b"/>
          <a:pathLst>
            <a:path w="21600" h="21600">
              <a:moveTo>
                <a:pt x="0" y="0"/>
              </a:moveTo>
              <a:lnTo>
                <a:pt x="21600" y="21600"/>
              </a:lnTo>
            </a:path>
          </a:pathLst>
        </a:custGeom>
        <a:noFill/>
        <a:ln>
          <a:solidFill>
            <a:srgbClr val="bfbfbf"/>
          </a:solidFill>
        </a:ln>
      </xdr:spPr>
      <xdr:style>
        <a:lnRef idx="1">
          <a:schemeClr val="accent1"/>
        </a:lnRef>
        <a:fillRef idx="0">
          <a:schemeClr val="accent1"/>
        </a:fillRef>
        <a:effectRef idx="0">
          <a:schemeClr val="accent1"/>
        </a:effectRef>
        <a:fontRef idx="minor"/>
      </xdr:style>
    </xdr:sp>
    <xdr:clientData/>
  </xdr:twoCellAnchor>
  <xdr:twoCellAnchor editAs="twoCell">
    <xdr:from>
      <xdr:col>36</xdr:col>
      <xdr:colOff>102240</xdr:colOff>
      <xdr:row>4</xdr:row>
      <xdr:rowOff>-360</xdr:rowOff>
    </xdr:from>
    <xdr:to>
      <xdr:col>36</xdr:col>
      <xdr:colOff>102600</xdr:colOff>
      <xdr:row>53</xdr:row>
      <xdr:rowOff>68400</xdr:rowOff>
    </xdr:to>
    <xdr:sp>
      <xdr:nvSpPr>
        <xdr:cNvPr id="5" name="CustomShape 1"/>
        <xdr:cNvSpPr/>
      </xdr:nvSpPr>
      <xdr:spPr>
        <a:xfrm>
          <a:off x="10668960" y="762120"/>
          <a:ext cx="360" cy="8034120"/>
        </a:xfrm>
        <a:custGeom>
          <a:avLst/>
          <a:gdLst/>
          <a:ahLst/>
          <a:rect l="l" t="t" r="r" b="b"/>
          <a:pathLst>
            <a:path w="21600" h="21600">
              <a:moveTo>
                <a:pt x="0" y="0"/>
              </a:moveTo>
              <a:lnTo>
                <a:pt x="21600" y="21600"/>
              </a:lnTo>
            </a:path>
          </a:pathLst>
        </a:custGeom>
        <a:noFill/>
        <a:ln>
          <a:solidFill>
            <a:srgbClr val="ff0000"/>
          </a:solidFill>
        </a:ln>
      </xdr:spPr>
      <xdr:style>
        <a:lnRef idx="1">
          <a:schemeClr val="accent1"/>
        </a:lnRef>
        <a:fillRef idx="0">
          <a:schemeClr val="accent1"/>
        </a:fillRef>
        <a:effectRef idx="0">
          <a:schemeClr val="accent1"/>
        </a:effectRef>
        <a:fontRef idx="minor"/>
      </xdr:style>
    </xdr:sp>
    <xdr:clientData/>
  </xdr:twoCellAnchor>
  <xdr:twoCellAnchor editAs="twoCell">
    <xdr:from>
      <xdr:col>49</xdr:col>
      <xdr:colOff>81720</xdr:colOff>
      <xdr:row>52</xdr:row>
      <xdr:rowOff>97920</xdr:rowOff>
    </xdr:from>
    <xdr:to>
      <xdr:col>49</xdr:col>
      <xdr:colOff>102240</xdr:colOff>
      <xdr:row>53</xdr:row>
      <xdr:rowOff>49680</xdr:rowOff>
    </xdr:to>
    <xdr:sp>
      <xdr:nvSpPr>
        <xdr:cNvPr id="6" name="CustomShape 1"/>
        <xdr:cNvSpPr/>
      </xdr:nvSpPr>
      <xdr:spPr>
        <a:xfrm>
          <a:off x="12514320" y="8663400"/>
          <a:ext cx="20520" cy="11412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49</xdr:col>
      <xdr:colOff>81720</xdr:colOff>
      <xdr:row>52</xdr:row>
      <xdr:rowOff>155520</xdr:rowOff>
    </xdr:from>
    <xdr:to>
      <xdr:col>49</xdr:col>
      <xdr:colOff>82080</xdr:colOff>
      <xdr:row>52</xdr:row>
      <xdr:rowOff>155880</xdr:rowOff>
    </xdr:to>
    <xdr:sp>
      <xdr:nvSpPr>
        <xdr:cNvPr id="7" name="CustomShape 1" hidden="1"/>
        <xdr:cNvSpPr/>
      </xdr:nvSpPr>
      <xdr:spPr>
        <a:xfrm>
          <a:off x="12514320" y="872100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49</xdr:col>
      <xdr:colOff>20520</xdr:colOff>
      <xdr:row>51</xdr:row>
      <xdr:rowOff>109080</xdr:rowOff>
    </xdr:from>
    <xdr:to>
      <xdr:col>49</xdr:col>
      <xdr:colOff>82080</xdr:colOff>
      <xdr:row>52</xdr:row>
      <xdr:rowOff>59040</xdr:rowOff>
    </xdr:to>
    <xdr:sp>
      <xdr:nvSpPr>
        <xdr:cNvPr id="8" name="CustomShape 1"/>
        <xdr:cNvSpPr/>
      </xdr:nvSpPr>
      <xdr:spPr>
        <a:xfrm>
          <a:off x="12453120" y="8511840"/>
          <a:ext cx="61560" cy="11268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49</xdr:col>
      <xdr:colOff>20520</xdr:colOff>
      <xdr:row>52</xdr:row>
      <xdr:rowOff>2880</xdr:rowOff>
    </xdr:from>
    <xdr:to>
      <xdr:col>49</xdr:col>
      <xdr:colOff>20880</xdr:colOff>
      <xdr:row>52</xdr:row>
      <xdr:rowOff>3240</xdr:rowOff>
    </xdr:to>
    <xdr:sp>
      <xdr:nvSpPr>
        <xdr:cNvPr id="9" name="CustomShape 1" hidden="1"/>
        <xdr:cNvSpPr/>
      </xdr:nvSpPr>
      <xdr:spPr>
        <a:xfrm>
          <a:off x="12453120" y="856836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49</xdr:col>
      <xdr:colOff>20520</xdr:colOff>
      <xdr:row>50</xdr:row>
      <xdr:rowOff>118440</xdr:rowOff>
    </xdr:from>
    <xdr:to>
      <xdr:col>49</xdr:col>
      <xdr:colOff>82080</xdr:colOff>
      <xdr:row>51</xdr:row>
      <xdr:rowOff>69840</xdr:rowOff>
    </xdr:to>
    <xdr:sp>
      <xdr:nvSpPr>
        <xdr:cNvPr id="10" name="CustomShape 1"/>
        <xdr:cNvSpPr/>
      </xdr:nvSpPr>
      <xdr:spPr>
        <a:xfrm>
          <a:off x="12453120" y="8358480"/>
          <a:ext cx="61560" cy="11412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49</xdr:col>
      <xdr:colOff>20520</xdr:colOff>
      <xdr:row>51</xdr:row>
      <xdr:rowOff>13680</xdr:rowOff>
    </xdr:from>
    <xdr:to>
      <xdr:col>49</xdr:col>
      <xdr:colOff>20880</xdr:colOff>
      <xdr:row>51</xdr:row>
      <xdr:rowOff>14040</xdr:rowOff>
    </xdr:to>
    <xdr:sp>
      <xdr:nvSpPr>
        <xdr:cNvPr id="11" name="CustomShape 1" hidden="1"/>
        <xdr:cNvSpPr/>
      </xdr:nvSpPr>
      <xdr:spPr>
        <a:xfrm>
          <a:off x="12453120" y="841644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49</xdr:col>
      <xdr:colOff>20520</xdr:colOff>
      <xdr:row>49</xdr:row>
      <xdr:rowOff>128520</xdr:rowOff>
    </xdr:from>
    <xdr:to>
      <xdr:col>49</xdr:col>
      <xdr:colOff>82080</xdr:colOff>
      <xdr:row>50</xdr:row>
      <xdr:rowOff>79560</xdr:rowOff>
    </xdr:to>
    <xdr:sp>
      <xdr:nvSpPr>
        <xdr:cNvPr id="12" name="CustomShape 1"/>
        <xdr:cNvSpPr/>
      </xdr:nvSpPr>
      <xdr:spPr>
        <a:xfrm>
          <a:off x="12453120" y="8206200"/>
          <a:ext cx="6156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49</xdr:col>
      <xdr:colOff>20520</xdr:colOff>
      <xdr:row>50</xdr:row>
      <xdr:rowOff>23400</xdr:rowOff>
    </xdr:from>
    <xdr:to>
      <xdr:col>49</xdr:col>
      <xdr:colOff>20880</xdr:colOff>
      <xdr:row>50</xdr:row>
      <xdr:rowOff>23760</xdr:rowOff>
    </xdr:to>
    <xdr:sp>
      <xdr:nvSpPr>
        <xdr:cNvPr id="13" name="CustomShape 1" hidden="1"/>
        <xdr:cNvSpPr/>
      </xdr:nvSpPr>
      <xdr:spPr>
        <a:xfrm>
          <a:off x="12453120" y="826344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49</xdr:col>
      <xdr:colOff>20520</xdr:colOff>
      <xdr:row>48</xdr:row>
      <xdr:rowOff>138960</xdr:rowOff>
    </xdr:from>
    <xdr:to>
      <xdr:col>49</xdr:col>
      <xdr:colOff>102240</xdr:colOff>
      <xdr:row>49</xdr:row>
      <xdr:rowOff>89640</xdr:rowOff>
    </xdr:to>
    <xdr:sp>
      <xdr:nvSpPr>
        <xdr:cNvPr id="14" name="CustomShape 1"/>
        <xdr:cNvSpPr/>
      </xdr:nvSpPr>
      <xdr:spPr>
        <a:xfrm>
          <a:off x="12453120" y="8053920"/>
          <a:ext cx="81720" cy="11340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49</xdr:col>
      <xdr:colOff>20520</xdr:colOff>
      <xdr:row>49</xdr:row>
      <xdr:rowOff>33480</xdr:rowOff>
    </xdr:from>
    <xdr:to>
      <xdr:col>49</xdr:col>
      <xdr:colOff>20880</xdr:colOff>
      <xdr:row>49</xdr:row>
      <xdr:rowOff>33840</xdr:rowOff>
    </xdr:to>
    <xdr:sp>
      <xdr:nvSpPr>
        <xdr:cNvPr id="15" name="CustomShape 1" hidden="1"/>
        <xdr:cNvSpPr/>
      </xdr:nvSpPr>
      <xdr:spPr>
        <a:xfrm>
          <a:off x="12453120" y="811116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48</xdr:col>
      <xdr:colOff>82440</xdr:colOff>
      <xdr:row>47</xdr:row>
      <xdr:rowOff>148680</xdr:rowOff>
    </xdr:from>
    <xdr:to>
      <xdr:col>48</xdr:col>
      <xdr:colOff>143640</xdr:colOff>
      <xdr:row>48</xdr:row>
      <xdr:rowOff>99720</xdr:rowOff>
    </xdr:to>
    <xdr:sp>
      <xdr:nvSpPr>
        <xdr:cNvPr id="16" name="CustomShape 1"/>
        <xdr:cNvSpPr/>
      </xdr:nvSpPr>
      <xdr:spPr>
        <a:xfrm>
          <a:off x="12371400" y="7901280"/>
          <a:ext cx="6120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48</xdr:col>
      <xdr:colOff>82440</xdr:colOff>
      <xdr:row>48</xdr:row>
      <xdr:rowOff>43560</xdr:rowOff>
    </xdr:from>
    <xdr:to>
      <xdr:col>48</xdr:col>
      <xdr:colOff>82800</xdr:colOff>
      <xdr:row>48</xdr:row>
      <xdr:rowOff>43920</xdr:rowOff>
    </xdr:to>
    <xdr:sp>
      <xdr:nvSpPr>
        <xdr:cNvPr id="17" name="CustomShape 1" hidden="1"/>
        <xdr:cNvSpPr/>
      </xdr:nvSpPr>
      <xdr:spPr>
        <a:xfrm>
          <a:off x="12371400" y="795852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48</xdr:col>
      <xdr:colOff>82440</xdr:colOff>
      <xdr:row>46</xdr:row>
      <xdr:rowOff>159120</xdr:rowOff>
    </xdr:from>
    <xdr:to>
      <xdr:col>48</xdr:col>
      <xdr:colOff>143640</xdr:colOff>
      <xdr:row>47</xdr:row>
      <xdr:rowOff>109800</xdr:rowOff>
    </xdr:to>
    <xdr:sp>
      <xdr:nvSpPr>
        <xdr:cNvPr id="18" name="CustomShape 1"/>
        <xdr:cNvSpPr/>
      </xdr:nvSpPr>
      <xdr:spPr>
        <a:xfrm>
          <a:off x="12371400" y="7749000"/>
          <a:ext cx="61200" cy="11340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48</xdr:col>
      <xdr:colOff>82440</xdr:colOff>
      <xdr:row>47</xdr:row>
      <xdr:rowOff>53640</xdr:rowOff>
    </xdr:from>
    <xdr:to>
      <xdr:col>48</xdr:col>
      <xdr:colOff>82800</xdr:colOff>
      <xdr:row>47</xdr:row>
      <xdr:rowOff>54000</xdr:rowOff>
    </xdr:to>
    <xdr:sp>
      <xdr:nvSpPr>
        <xdr:cNvPr id="19" name="CustomShape 1" hidden="1"/>
        <xdr:cNvSpPr/>
      </xdr:nvSpPr>
      <xdr:spPr>
        <a:xfrm>
          <a:off x="12371400" y="780624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48</xdr:col>
      <xdr:colOff>82440</xdr:colOff>
      <xdr:row>46</xdr:row>
      <xdr:rowOff>6840</xdr:rowOff>
    </xdr:from>
    <xdr:to>
      <xdr:col>49</xdr:col>
      <xdr:colOff>102240</xdr:colOff>
      <xdr:row>46</xdr:row>
      <xdr:rowOff>120240</xdr:rowOff>
    </xdr:to>
    <xdr:sp>
      <xdr:nvSpPr>
        <xdr:cNvPr id="20" name="CustomShape 1"/>
        <xdr:cNvSpPr/>
      </xdr:nvSpPr>
      <xdr:spPr>
        <a:xfrm>
          <a:off x="12371400" y="7596720"/>
          <a:ext cx="163440" cy="11340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48</xdr:col>
      <xdr:colOff>82440</xdr:colOff>
      <xdr:row>46</xdr:row>
      <xdr:rowOff>64080</xdr:rowOff>
    </xdr:from>
    <xdr:to>
      <xdr:col>48</xdr:col>
      <xdr:colOff>82800</xdr:colOff>
      <xdr:row>46</xdr:row>
      <xdr:rowOff>64440</xdr:rowOff>
    </xdr:to>
    <xdr:sp>
      <xdr:nvSpPr>
        <xdr:cNvPr id="21" name="CustomShape 1" hidden="1"/>
        <xdr:cNvSpPr/>
      </xdr:nvSpPr>
      <xdr:spPr>
        <a:xfrm>
          <a:off x="12371400" y="765396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48</xdr:col>
      <xdr:colOff>82440</xdr:colOff>
      <xdr:row>45</xdr:row>
      <xdr:rowOff>16560</xdr:rowOff>
    </xdr:from>
    <xdr:to>
      <xdr:col>49</xdr:col>
      <xdr:colOff>41040</xdr:colOff>
      <xdr:row>45</xdr:row>
      <xdr:rowOff>129960</xdr:rowOff>
    </xdr:to>
    <xdr:sp>
      <xdr:nvSpPr>
        <xdr:cNvPr id="22" name="CustomShape 1"/>
        <xdr:cNvSpPr/>
      </xdr:nvSpPr>
      <xdr:spPr>
        <a:xfrm>
          <a:off x="12371400" y="7444080"/>
          <a:ext cx="10224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48</xdr:col>
      <xdr:colOff>82440</xdr:colOff>
      <xdr:row>45</xdr:row>
      <xdr:rowOff>73800</xdr:rowOff>
    </xdr:from>
    <xdr:to>
      <xdr:col>48</xdr:col>
      <xdr:colOff>82800</xdr:colOff>
      <xdr:row>45</xdr:row>
      <xdr:rowOff>74160</xdr:rowOff>
    </xdr:to>
    <xdr:sp>
      <xdr:nvSpPr>
        <xdr:cNvPr id="23" name="CustomShape 1" hidden="1"/>
        <xdr:cNvSpPr/>
      </xdr:nvSpPr>
      <xdr:spPr>
        <a:xfrm>
          <a:off x="12371400" y="750132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45</xdr:col>
      <xdr:colOff>82440</xdr:colOff>
      <xdr:row>44</xdr:row>
      <xdr:rowOff>27720</xdr:rowOff>
    </xdr:from>
    <xdr:to>
      <xdr:col>48</xdr:col>
      <xdr:colOff>41760</xdr:colOff>
      <xdr:row>44</xdr:row>
      <xdr:rowOff>141120</xdr:rowOff>
    </xdr:to>
    <xdr:sp>
      <xdr:nvSpPr>
        <xdr:cNvPr id="24" name="CustomShape 1"/>
        <xdr:cNvSpPr/>
      </xdr:nvSpPr>
      <xdr:spPr>
        <a:xfrm>
          <a:off x="11940840" y="7292520"/>
          <a:ext cx="38988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45</xdr:col>
      <xdr:colOff>82440</xdr:colOff>
      <xdr:row>44</xdr:row>
      <xdr:rowOff>84960</xdr:rowOff>
    </xdr:from>
    <xdr:to>
      <xdr:col>45</xdr:col>
      <xdr:colOff>82800</xdr:colOff>
      <xdr:row>44</xdr:row>
      <xdr:rowOff>85320</xdr:rowOff>
    </xdr:to>
    <xdr:sp>
      <xdr:nvSpPr>
        <xdr:cNvPr id="25" name="CustomShape 1" hidden="1"/>
        <xdr:cNvSpPr/>
      </xdr:nvSpPr>
      <xdr:spPr>
        <a:xfrm>
          <a:off x="11940840" y="734976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45</xdr:col>
      <xdr:colOff>82440</xdr:colOff>
      <xdr:row>43</xdr:row>
      <xdr:rowOff>37080</xdr:rowOff>
    </xdr:from>
    <xdr:to>
      <xdr:col>49</xdr:col>
      <xdr:colOff>41040</xdr:colOff>
      <xdr:row>43</xdr:row>
      <xdr:rowOff>150840</xdr:rowOff>
    </xdr:to>
    <xdr:sp>
      <xdr:nvSpPr>
        <xdr:cNvPr id="26" name="CustomShape 1"/>
        <xdr:cNvSpPr/>
      </xdr:nvSpPr>
      <xdr:spPr>
        <a:xfrm>
          <a:off x="11940840" y="7139520"/>
          <a:ext cx="532800" cy="11376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45</xdr:col>
      <xdr:colOff>82440</xdr:colOff>
      <xdr:row>43</xdr:row>
      <xdr:rowOff>94320</xdr:rowOff>
    </xdr:from>
    <xdr:to>
      <xdr:col>45</xdr:col>
      <xdr:colOff>82800</xdr:colOff>
      <xdr:row>43</xdr:row>
      <xdr:rowOff>94680</xdr:rowOff>
    </xdr:to>
    <xdr:sp>
      <xdr:nvSpPr>
        <xdr:cNvPr id="27" name="CustomShape 1" hidden="1"/>
        <xdr:cNvSpPr/>
      </xdr:nvSpPr>
      <xdr:spPr>
        <a:xfrm>
          <a:off x="11940840" y="719676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41</xdr:col>
      <xdr:colOff>81720</xdr:colOff>
      <xdr:row>42</xdr:row>
      <xdr:rowOff>47880</xdr:rowOff>
    </xdr:from>
    <xdr:to>
      <xdr:col>48</xdr:col>
      <xdr:colOff>21240</xdr:colOff>
      <xdr:row>42</xdr:row>
      <xdr:rowOff>160920</xdr:rowOff>
    </xdr:to>
    <xdr:sp>
      <xdr:nvSpPr>
        <xdr:cNvPr id="28" name="CustomShape 1"/>
        <xdr:cNvSpPr/>
      </xdr:nvSpPr>
      <xdr:spPr>
        <a:xfrm>
          <a:off x="11366280" y="6987600"/>
          <a:ext cx="943920" cy="11304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41</xdr:col>
      <xdr:colOff>81720</xdr:colOff>
      <xdr:row>42</xdr:row>
      <xdr:rowOff>105120</xdr:rowOff>
    </xdr:from>
    <xdr:to>
      <xdr:col>41</xdr:col>
      <xdr:colOff>82080</xdr:colOff>
      <xdr:row>42</xdr:row>
      <xdr:rowOff>105480</xdr:rowOff>
    </xdr:to>
    <xdr:sp>
      <xdr:nvSpPr>
        <xdr:cNvPr id="29" name="CustomShape 1" hidden="1"/>
        <xdr:cNvSpPr/>
      </xdr:nvSpPr>
      <xdr:spPr>
        <a:xfrm>
          <a:off x="11366280" y="704484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39</xdr:col>
      <xdr:colOff>82440</xdr:colOff>
      <xdr:row>41</xdr:row>
      <xdr:rowOff>57600</xdr:rowOff>
    </xdr:from>
    <xdr:to>
      <xdr:col>48</xdr:col>
      <xdr:colOff>21240</xdr:colOff>
      <xdr:row>42</xdr:row>
      <xdr:rowOff>9000</xdr:rowOff>
    </xdr:to>
    <xdr:sp>
      <xdr:nvSpPr>
        <xdr:cNvPr id="30" name="CustomShape 1"/>
        <xdr:cNvSpPr/>
      </xdr:nvSpPr>
      <xdr:spPr>
        <a:xfrm>
          <a:off x="11079720" y="6834600"/>
          <a:ext cx="1230480" cy="11412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39</xdr:col>
      <xdr:colOff>82440</xdr:colOff>
      <xdr:row>41</xdr:row>
      <xdr:rowOff>114840</xdr:rowOff>
    </xdr:from>
    <xdr:to>
      <xdr:col>39</xdr:col>
      <xdr:colOff>82800</xdr:colOff>
      <xdr:row>41</xdr:row>
      <xdr:rowOff>115200</xdr:rowOff>
    </xdr:to>
    <xdr:sp>
      <xdr:nvSpPr>
        <xdr:cNvPr id="31" name="CustomShape 1" hidden="1"/>
        <xdr:cNvSpPr/>
      </xdr:nvSpPr>
      <xdr:spPr>
        <a:xfrm>
          <a:off x="11079720" y="689184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39</xdr:col>
      <xdr:colOff>82440</xdr:colOff>
      <xdr:row>40</xdr:row>
      <xdr:rowOff>67680</xdr:rowOff>
    </xdr:from>
    <xdr:to>
      <xdr:col>48</xdr:col>
      <xdr:colOff>21240</xdr:colOff>
      <xdr:row>41</xdr:row>
      <xdr:rowOff>18720</xdr:rowOff>
    </xdr:to>
    <xdr:sp>
      <xdr:nvSpPr>
        <xdr:cNvPr id="32" name="CustomShape 1"/>
        <xdr:cNvSpPr/>
      </xdr:nvSpPr>
      <xdr:spPr>
        <a:xfrm>
          <a:off x="11079720" y="6682320"/>
          <a:ext cx="123048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39</xdr:col>
      <xdr:colOff>82440</xdr:colOff>
      <xdr:row>40</xdr:row>
      <xdr:rowOff>124920</xdr:rowOff>
    </xdr:from>
    <xdr:to>
      <xdr:col>39</xdr:col>
      <xdr:colOff>82800</xdr:colOff>
      <xdr:row>40</xdr:row>
      <xdr:rowOff>125280</xdr:rowOff>
    </xdr:to>
    <xdr:sp>
      <xdr:nvSpPr>
        <xdr:cNvPr id="33" name="CustomShape 1" hidden="1"/>
        <xdr:cNvSpPr/>
      </xdr:nvSpPr>
      <xdr:spPr>
        <a:xfrm>
          <a:off x="11079720" y="673956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40</xdr:col>
      <xdr:colOff>82080</xdr:colOff>
      <xdr:row>39</xdr:row>
      <xdr:rowOff>77760</xdr:rowOff>
    </xdr:from>
    <xdr:to>
      <xdr:col>42</xdr:col>
      <xdr:colOff>41760</xdr:colOff>
      <xdr:row>40</xdr:row>
      <xdr:rowOff>28440</xdr:rowOff>
    </xdr:to>
    <xdr:sp>
      <xdr:nvSpPr>
        <xdr:cNvPr id="34" name="CustomShape 1"/>
        <xdr:cNvSpPr/>
      </xdr:nvSpPr>
      <xdr:spPr>
        <a:xfrm>
          <a:off x="11223000" y="6529680"/>
          <a:ext cx="24660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40</xdr:col>
      <xdr:colOff>82080</xdr:colOff>
      <xdr:row>39</xdr:row>
      <xdr:rowOff>135000</xdr:rowOff>
    </xdr:from>
    <xdr:to>
      <xdr:col>40</xdr:col>
      <xdr:colOff>82440</xdr:colOff>
      <xdr:row>39</xdr:row>
      <xdr:rowOff>135360</xdr:rowOff>
    </xdr:to>
    <xdr:sp>
      <xdr:nvSpPr>
        <xdr:cNvPr id="35" name="CustomShape 1" hidden="1"/>
        <xdr:cNvSpPr/>
      </xdr:nvSpPr>
      <xdr:spPr>
        <a:xfrm>
          <a:off x="11223000" y="658692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40</xdr:col>
      <xdr:colOff>82080</xdr:colOff>
      <xdr:row>38</xdr:row>
      <xdr:rowOff>87840</xdr:rowOff>
    </xdr:from>
    <xdr:to>
      <xdr:col>41</xdr:col>
      <xdr:colOff>41040</xdr:colOff>
      <xdr:row>39</xdr:row>
      <xdr:rowOff>38880</xdr:rowOff>
    </xdr:to>
    <xdr:sp>
      <xdr:nvSpPr>
        <xdr:cNvPr id="36" name="CustomShape 1"/>
        <xdr:cNvSpPr/>
      </xdr:nvSpPr>
      <xdr:spPr>
        <a:xfrm>
          <a:off x="11223000" y="6377400"/>
          <a:ext cx="10260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40</xdr:col>
      <xdr:colOff>82080</xdr:colOff>
      <xdr:row>38</xdr:row>
      <xdr:rowOff>145080</xdr:rowOff>
    </xdr:from>
    <xdr:to>
      <xdr:col>40</xdr:col>
      <xdr:colOff>82440</xdr:colOff>
      <xdr:row>38</xdr:row>
      <xdr:rowOff>145440</xdr:rowOff>
    </xdr:to>
    <xdr:sp>
      <xdr:nvSpPr>
        <xdr:cNvPr id="37" name="CustomShape 1" hidden="1"/>
        <xdr:cNvSpPr/>
      </xdr:nvSpPr>
      <xdr:spPr>
        <a:xfrm>
          <a:off x="11223000" y="643464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39</xdr:col>
      <xdr:colOff>82440</xdr:colOff>
      <xdr:row>37</xdr:row>
      <xdr:rowOff>98280</xdr:rowOff>
    </xdr:from>
    <xdr:to>
      <xdr:col>40</xdr:col>
      <xdr:colOff>41400</xdr:colOff>
      <xdr:row>38</xdr:row>
      <xdr:rowOff>48960</xdr:rowOff>
    </xdr:to>
    <xdr:sp>
      <xdr:nvSpPr>
        <xdr:cNvPr id="38" name="CustomShape 1"/>
        <xdr:cNvSpPr/>
      </xdr:nvSpPr>
      <xdr:spPr>
        <a:xfrm>
          <a:off x="11079720" y="6225120"/>
          <a:ext cx="10260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39</xdr:col>
      <xdr:colOff>82440</xdr:colOff>
      <xdr:row>37</xdr:row>
      <xdr:rowOff>155520</xdr:rowOff>
    </xdr:from>
    <xdr:to>
      <xdr:col>39</xdr:col>
      <xdr:colOff>82800</xdr:colOff>
      <xdr:row>37</xdr:row>
      <xdr:rowOff>155880</xdr:rowOff>
    </xdr:to>
    <xdr:sp>
      <xdr:nvSpPr>
        <xdr:cNvPr id="39" name="CustomShape 1" hidden="1"/>
        <xdr:cNvSpPr/>
      </xdr:nvSpPr>
      <xdr:spPr>
        <a:xfrm>
          <a:off x="11079720" y="628236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39</xdr:col>
      <xdr:colOff>82440</xdr:colOff>
      <xdr:row>36</xdr:row>
      <xdr:rowOff>120600</xdr:rowOff>
    </xdr:from>
    <xdr:to>
      <xdr:col>42</xdr:col>
      <xdr:colOff>41760</xdr:colOff>
      <xdr:row>37</xdr:row>
      <xdr:rowOff>59040</xdr:rowOff>
    </xdr:to>
    <xdr:sp>
      <xdr:nvSpPr>
        <xdr:cNvPr id="40" name="CustomShape 1"/>
        <xdr:cNvSpPr/>
      </xdr:nvSpPr>
      <xdr:spPr>
        <a:xfrm>
          <a:off x="11079720" y="6085080"/>
          <a:ext cx="389880" cy="10080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39</xdr:col>
      <xdr:colOff>82440</xdr:colOff>
      <xdr:row>37</xdr:row>
      <xdr:rowOff>2880</xdr:rowOff>
    </xdr:from>
    <xdr:to>
      <xdr:col>39</xdr:col>
      <xdr:colOff>82800</xdr:colOff>
      <xdr:row>37</xdr:row>
      <xdr:rowOff>3240</xdr:rowOff>
    </xdr:to>
    <xdr:sp>
      <xdr:nvSpPr>
        <xdr:cNvPr id="41" name="CustomShape 1" hidden="1"/>
        <xdr:cNvSpPr/>
      </xdr:nvSpPr>
      <xdr:spPr>
        <a:xfrm>
          <a:off x="11079720" y="612972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39</xdr:col>
      <xdr:colOff>82440</xdr:colOff>
      <xdr:row>35</xdr:row>
      <xdr:rowOff>131760</xdr:rowOff>
    </xdr:from>
    <xdr:to>
      <xdr:col>48</xdr:col>
      <xdr:colOff>21240</xdr:colOff>
      <xdr:row>36</xdr:row>
      <xdr:rowOff>81720</xdr:rowOff>
    </xdr:to>
    <xdr:sp>
      <xdr:nvSpPr>
        <xdr:cNvPr id="42" name="CustomShape 1"/>
        <xdr:cNvSpPr/>
      </xdr:nvSpPr>
      <xdr:spPr>
        <a:xfrm>
          <a:off x="11079720" y="5933520"/>
          <a:ext cx="1230480" cy="11268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39</xdr:col>
      <xdr:colOff>82440</xdr:colOff>
      <xdr:row>36</xdr:row>
      <xdr:rowOff>25560</xdr:rowOff>
    </xdr:from>
    <xdr:to>
      <xdr:col>39</xdr:col>
      <xdr:colOff>82800</xdr:colOff>
      <xdr:row>36</xdr:row>
      <xdr:rowOff>25920</xdr:rowOff>
    </xdr:to>
    <xdr:sp>
      <xdr:nvSpPr>
        <xdr:cNvPr id="43" name="CustomShape 1" hidden="1"/>
        <xdr:cNvSpPr/>
      </xdr:nvSpPr>
      <xdr:spPr>
        <a:xfrm>
          <a:off x="11079720" y="599004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39</xdr:col>
      <xdr:colOff>82440</xdr:colOff>
      <xdr:row>34</xdr:row>
      <xdr:rowOff>141120</xdr:rowOff>
    </xdr:from>
    <xdr:to>
      <xdr:col>40</xdr:col>
      <xdr:colOff>41400</xdr:colOff>
      <xdr:row>35</xdr:row>
      <xdr:rowOff>92880</xdr:rowOff>
    </xdr:to>
    <xdr:sp>
      <xdr:nvSpPr>
        <xdr:cNvPr id="44" name="CustomShape 1"/>
        <xdr:cNvSpPr/>
      </xdr:nvSpPr>
      <xdr:spPr>
        <a:xfrm>
          <a:off x="11079720" y="5780520"/>
          <a:ext cx="102600" cy="11412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39</xdr:col>
      <xdr:colOff>82440</xdr:colOff>
      <xdr:row>35</xdr:row>
      <xdr:rowOff>36720</xdr:rowOff>
    </xdr:from>
    <xdr:to>
      <xdr:col>39</xdr:col>
      <xdr:colOff>82800</xdr:colOff>
      <xdr:row>35</xdr:row>
      <xdr:rowOff>37080</xdr:rowOff>
    </xdr:to>
    <xdr:sp>
      <xdr:nvSpPr>
        <xdr:cNvPr id="45" name="CustomShape 1" hidden="1"/>
        <xdr:cNvSpPr/>
      </xdr:nvSpPr>
      <xdr:spPr>
        <a:xfrm>
          <a:off x="11079720" y="583848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39</xdr:col>
      <xdr:colOff>82440</xdr:colOff>
      <xdr:row>33</xdr:row>
      <xdr:rowOff>151920</xdr:rowOff>
    </xdr:from>
    <xdr:to>
      <xdr:col>48</xdr:col>
      <xdr:colOff>21240</xdr:colOff>
      <xdr:row>34</xdr:row>
      <xdr:rowOff>101880</xdr:rowOff>
    </xdr:to>
    <xdr:sp>
      <xdr:nvSpPr>
        <xdr:cNvPr id="46" name="CustomShape 1"/>
        <xdr:cNvSpPr/>
      </xdr:nvSpPr>
      <xdr:spPr>
        <a:xfrm>
          <a:off x="11079720" y="5628600"/>
          <a:ext cx="1230480" cy="11268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39</xdr:col>
      <xdr:colOff>82440</xdr:colOff>
      <xdr:row>34</xdr:row>
      <xdr:rowOff>45720</xdr:rowOff>
    </xdr:from>
    <xdr:to>
      <xdr:col>39</xdr:col>
      <xdr:colOff>82800</xdr:colOff>
      <xdr:row>34</xdr:row>
      <xdr:rowOff>46080</xdr:rowOff>
    </xdr:to>
    <xdr:sp>
      <xdr:nvSpPr>
        <xdr:cNvPr id="47" name="CustomShape 1" hidden="1"/>
        <xdr:cNvSpPr/>
      </xdr:nvSpPr>
      <xdr:spPr>
        <a:xfrm>
          <a:off x="11079720" y="568512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39</xdr:col>
      <xdr:colOff>82440</xdr:colOff>
      <xdr:row>32</xdr:row>
      <xdr:rowOff>162000</xdr:rowOff>
    </xdr:from>
    <xdr:to>
      <xdr:col>49</xdr:col>
      <xdr:colOff>41040</xdr:colOff>
      <xdr:row>33</xdr:row>
      <xdr:rowOff>113040</xdr:rowOff>
    </xdr:to>
    <xdr:sp>
      <xdr:nvSpPr>
        <xdr:cNvPr id="48" name="CustomShape 1"/>
        <xdr:cNvSpPr/>
      </xdr:nvSpPr>
      <xdr:spPr>
        <a:xfrm>
          <a:off x="11079720" y="5475960"/>
          <a:ext cx="1393920" cy="11376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39</xdr:col>
      <xdr:colOff>82440</xdr:colOff>
      <xdr:row>33</xdr:row>
      <xdr:rowOff>56880</xdr:rowOff>
    </xdr:from>
    <xdr:to>
      <xdr:col>39</xdr:col>
      <xdr:colOff>82800</xdr:colOff>
      <xdr:row>33</xdr:row>
      <xdr:rowOff>57240</xdr:rowOff>
    </xdr:to>
    <xdr:sp>
      <xdr:nvSpPr>
        <xdr:cNvPr id="49" name="CustomShape 1" hidden="1"/>
        <xdr:cNvSpPr/>
      </xdr:nvSpPr>
      <xdr:spPr>
        <a:xfrm>
          <a:off x="11079720" y="553356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39</xdr:col>
      <xdr:colOff>82440</xdr:colOff>
      <xdr:row>32</xdr:row>
      <xdr:rowOff>9720</xdr:rowOff>
    </xdr:from>
    <xdr:to>
      <xdr:col>40</xdr:col>
      <xdr:colOff>41400</xdr:colOff>
      <xdr:row>32</xdr:row>
      <xdr:rowOff>123120</xdr:rowOff>
    </xdr:to>
    <xdr:sp>
      <xdr:nvSpPr>
        <xdr:cNvPr id="50" name="CustomShape 1"/>
        <xdr:cNvSpPr/>
      </xdr:nvSpPr>
      <xdr:spPr>
        <a:xfrm>
          <a:off x="11079720" y="5323680"/>
          <a:ext cx="10260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39</xdr:col>
      <xdr:colOff>82440</xdr:colOff>
      <xdr:row>32</xdr:row>
      <xdr:rowOff>66960</xdr:rowOff>
    </xdr:from>
    <xdr:to>
      <xdr:col>39</xdr:col>
      <xdr:colOff>82800</xdr:colOff>
      <xdr:row>32</xdr:row>
      <xdr:rowOff>67320</xdr:rowOff>
    </xdr:to>
    <xdr:sp>
      <xdr:nvSpPr>
        <xdr:cNvPr id="51" name="CustomShape 1" hidden="1"/>
        <xdr:cNvSpPr/>
      </xdr:nvSpPr>
      <xdr:spPr>
        <a:xfrm>
          <a:off x="11079720" y="538092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36</xdr:col>
      <xdr:colOff>82080</xdr:colOff>
      <xdr:row>31</xdr:row>
      <xdr:rowOff>19080</xdr:rowOff>
    </xdr:from>
    <xdr:to>
      <xdr:col>39</xdr:col>
      <xdr:colOff>41760</xdr:colOff>
      <xdr:row>31</xdr:row>
      <xdr:rowOff>132480</xdr:rowOff>
    </xdr:to>
    <xdr:sp>
      <xdr:nvSpPr>
        <xdr:cNvPr id="52" name="CustomShape 1"/>
        <xdr:cNvSpPr/>
      </xdr:nvSpPr>
      <xdr:spPr>
        <a:xfrm>
          <a:off x="10648800" y="5170680"/>
          <a:ext cx="39024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36</xdr:col>
      <xdr:colOff>82080</xdr:colOff>
      <xdr:row>31</xdr:row>
      <xdr:rowOff>76320</xdr:rowOff>
    </xdr:from>
    <xdr:to>
      <xdr:col>36</xdr:col>
      <xdr:colOff>82440</xdr:colOff>
      <xdr:row>31</xdr:row>
      <xdr:rowOff>76680</xdr:rowOff>
    </xdr:to>
    <xdr:sp>
      <xdr:nvSpPr>
        <xdr:cNvPr id="53" name="CustomShape 1" hidden="1"/>
        <xdr:cNvSpPr/>
      </xdr:nvSpPr>
      <xdr:spPr>
        <a:xfrm>
          <a:off x="10648800" y="522792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36</xdr:col>
      <xdr:colOff>82080</xdr:colOff>
      <xdr:row>30</xdr:row>
      <xdr:rowOff>29880</xdr:rowOff>
    </xdr:from>
    <xdr:to>
      <xdr:col>38</xdr:col>
      <xdr:colOff>41040</xdr:colOff>
      <xdr:row>30</xdr:row>
      <xdr:rowOff>143280</xdr:rowOff>
    </xdr:to>
    <xdr:sp>
      <xdr:nvSpPr>
        <xdr:cNvPr id="54" name="CustomShape 1"/>
        <xdr:cNvSpPr/>
      </xdr:nvSpPr>
      <xdr:spPr>
        <a:xfrm>
          <a:off x="10648800" y="5018760"/>
          <a:ext cx="24624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36</xdr:col>
      <xdr:colOff>82080</xdr:colOff>
      <xdr:row>30</xdr:row>
      <xdr:rowOff>87120</xdr:rowOff>
    </xdr:from>
    <xdr:to>
      <xdr:col>36</xdr:col>
      <xdr:colOff>82440</xdr:colOff>
      <xdr:row>30</xdr:row>
      <xdr:rowOff>87480</xdr:rowOff>
    </xdr:to>
    <xdr:sp>
      <xdr:nvSpPr>
        <xdr:cNvPr id="55" name="CustomShape 1" hidden="1"/>
        <xdr:cNvSpPr/>
      </xdr:nvSpPr>
      <xdr:spPr>
        <a:xfrm>
          <a:off x="10648800" y="507600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35</xdr:col>
      <xdr:colOff>81720</xdr:colOff>
      <xdr:row>29</xdr:row>
      <xdr:rowOff>39600</xdr:rowOff>
    </xdr:from>
    <xdr:to>
      <xdr:col>37</xdr:col>
      <xdr:colOff>41760</xdr:colOff>
      <xdr:row>29</xdr:row>
      <xdr:rowOff>153000</xdr:rowOff>
    </xdr:to>
    <xdr:sp>
      <xdr:nvSpPr>
        <xdr:cNvPr id="56" name="CustomShape 1"/>
        <xdr:cNvSpPr/>
      </xdr:nvSpPr>
      <xdr:spPr>
        <a:xfrm>
          <a:off x="10505160" y="4866120"/>
          <a:ext cx="24696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35</xdr:col>
      <xdr:colOff>81720</xdr:colOff>
      <xdr:row>29</xdr:row>
      <xdr:rowOff>96840</xdr:rowOff>
    </xdr:from>
    <xdr:to>
      <xdr:col>35</xdr:col>
      <xdr:colOff>82080</xdr:colOff>
      <xdr:row>29</xdr:row>
      <xdr:rowOff>97200</xdr:rowOff>
    </xdr:to>
    <xdr:sp>
      <xdr:nvSpPr>
        <xdr:cNvPr id="57" name="CustomShape 1" hidden="1"/>
        <xdr:cNvSpPr/>
      </xdr:nvSpPr>
      <xdr:spPr>
        <a:xfrm>
          <a:off x="10505160" y="492336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35</xdr:col>
      <xdr:colOff>81720</xdr:colOff>
      <xdr:row>28</xdr:row>
      <xdr:rowOff>50040</xdr:rowOff>
    </xdr:from>
    <xdr:to>
      <xdr:col>39</xdr:col>
      <xdr:colOff>41760</xdr:colOff>
      <xdr:row>28</xdr:row>
      <xdr:rowOff>162720</xdr:rowOff>
    </xdr:to>
    <xdr:sp>
      <xdr:nvSpPr>
        <xdr:cNvPr id="58" name="CustomShape 1"/>
        <xdr:cNvSpPr/>
      </xdr:nvSpPr>
      <xdr:spPr>
        <a:xfrm>
          <a:off x="10505160" y="4713840"/>
          <a:ext cx="533880" cy="11268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35</xdr:col>
      <xdr:colOff>81720</xdr:colOff>
      <xdr:row>28</xdr:row>
      <xdr:rowOff>107280</xdr:rowOff>
    </xdr:from>
    <xdr:to>
      <xdr:col>35</xdr:col>
      <xdr:colOff>82080</xdr:colOff>
      <xdr:row>28</xdr:row>
      <xdr:rowOff>107640</xdr:rowOff>
    </xdr:to>
    <xdr:sp>
      <xdr:nvSpPr>
        <xdr:cNvPr id="59" name="CustomShape 1" hidden="1"/>
        <xdr:cNvSpPr/>
      </xdr:nvSpPr>
      <xdr:spPr>
        <a:xfrm>
          <a:off x="10505160" y="477108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34</xdr:col>
      <xdr:colOff>82440</xdr:colOff>
      <xdr:row>27</xdr:row>
      <xdr:rowOff>59760</xdr:rowOff>
    </xdr:from>
    <xdr:to>
      <xdr:col>37</xdr:col>
      <xdr:colOff>41760</xdr:colOff>
      <xdr:row>28</xdr:row>
      <xdr:rowOff>11160</xdr:rowOff>
    </xdr:to>
    <xdr:sp>
      <xdr:nvSpPr>
        <xdr:cNvPr id="60" name="CustomShape 1"/>
        <xdr:cNvSpPr/>
      </xdr:nvSpPr>
      <xdr:spPr>
        <a:xfrm>
          <a:off x="10362240" y="4561200"/>
          <a:ext cx="389880" cy="11376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34</xdr:col>
      <xdr:colOff>82440</xdr:colOff>
      <xdr:row>27</xdr:row>
      <xdr:rowOff>117000</xdr:rowOff>
    </xdr:from>
    <xdr:to>
      <xdr:col>34</xdr:col>
      <xdr:colOff>82800</xdr:colOff>
      <xdr:row>27</xdr:row>
      <xdr:rowOff>117360</xdr:rowOff>
    </xdr:to>
    <xdr:sp>
      <xdr:nvSpPr>
        <xdr:cNvPr id="61" name="CustomShape 1" hidden="1"/>
        <xdr:cNvSpPr/>
      </xdr:nvSpPr>
      <xdr:spPr>
        <a:xfrm>
          <a:off x="10362240" y="461844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34</xdr:col>
      <xdr:colOff>82440</xdr:colOff>
      <xdr:row>26</xdr:row>
      <xdr:rowOff>70920</xdr:rowOff>
    </xdr:from>
    <xdr:to>
      <xdr:col>40</xdr:col>
      <xdr:colOff>41400</xdr:colOff>
      <xdr:row>27</xdr:row>
      <xdr:rowOff>20880</xdr:rowOff>
    </xdr:to>
    <xdr:sp>
      <xdr:nvSpPr>
        <xdr:cNvPr id="62" name="CustomShape 1"/>
        <xdr:cNvSpPr/>
      </xdr:nvSpPr>
      <xdr:spPr>
        <a:xfrm>
          <a:off x="10362240" y="4409640"/>
          <a:ext cx="820080" cy="11268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34</xdr:col>
      <xdr:colOff>82440</xdr:colOff>
      <xdr:row>26</xdr:row>
      <xdr:rowOff>128160</xdr:rowOff>
    </xdr:from>
    <xdr:to>
      <xdr:col>34</xdr:col>
      <xdr:colOff>82800</xdr:colOff>
      <xdr:row>26</xdr:row>
      <xdr:rowOff>128520</xdr:rowOff>
    </xdr:to>
    <xdr:sp>
      <xdr:nvSpPr>
        <xdr:cNvPr id="63" name="CustomShape 1" hidden="1"/>
        <xdr:cNvSpPr/>
      </xdr:nvSpPr>
      <xdr:spPr>
        <a:xfrm>
          <a:off x="10362240" y="446688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32</xdr:col>
      <xdr:colOff>82080</xdr:colOff>
      <xdr:row>25</xdr:row>
      <xdr:rowOff>79920</xdr:rowOff>
    </xdr:from>
    <xdr:to>
      <xdr:col>34</xdr:col>
      <xdr:colOff>41760</xdr:colOff>
      <xdr:row>26</xdr:row>
      <xdr:rowOff>31680</xdr:rowOff>
    </xdr:to>
    <xdr:sp>
      <xdr:nvSpPr>
        <xdr:cNvPr id="64" name="CustomShape 1"/>
        <xdr:cNvSpPr/>
      </xdr:nvSpPr>
      <xdr:spPr>
        <a:xfrm>
          <a:off x="10074960" y="4256280"/>
          <a:ext cx="246600" cy="11412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32</xdr:col>
      <xdr:colOff>82080</xdr:colOff>
      <xdr:row>25</xdr:row>
      <xdr:rowOff>137160</xdr:rowOff>
    </xdr:from>
    <xdr:to>
      <xdr:col>33</xdr:col>
      <xdr:colOff>48240</xdr:colOff>
      <xdr:row>25</xdr:row>
      <xdr:rowOff>137520</xdr:rowOff>
    </xdr:to>
    <xdr:sp>
      <xdr:nvSpPr>
        <xdr:cNvPr id="65" name="CustomShape 1"/>
        <xdr:cNvSpPr/>
      </xdr:nvSpPr>
      <xdr:spPr>
        <a:xfrm>
          <a:off x="10074960" y="4313520"/>
          <a:ext cx="10944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32</xdr:col>
      <xdr:colOff>82080</xdr:colOff>
      <xdr:row>24</xdr:row>
      <xdr:rowOff>91080</xdr:rowOff>
    </xdr:from>
    <xdr:to>
      <xdr:col>34</xdr:col>
      <xdr:colOff>41760</xdr:colOff>
      <xdr:row>25</xdr:row>
      <xdr:rowOff>41040</xdr:rowOff>
    </xdr:to>
    <xdr:sp>
      <xdr:nvSpPr>
        <xdr:cNvPr id="66" name="CustomShape 1"/>
        <xdr:cNvSpPr/>
      </xdr:nvSpPr>
      <xdr:spPr>
        <a:xfrm>
          <a:off x="10074960" y="4104720"/>
          <a:ext cx="246600" cy="11268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32</xdr:col>
      <xdr:colOff>82080</xdr:colOff>
      <xdr:row>24</xdr:row>
      <xdr:rowOff>148320</xdr:rowOff>
    </xdr:from>
    <xdr:to>
      <xdr:col>34</xdr:col>
      <xdr:colOff>40680</xdr:colOff>
      <xdr:row>24</xdr:row>
      <xdr:rowOff>148680</xdr:rowOff>
    </xdr:to>
    <xdr:sp>
      <xdr:nvSpPr>
        <xdr:cNvPr id="67" name="CustomShape 1"/>
        <xdr:cNvSpPr/>
      </xdr:nvSpPr>
      <xdr:spPr>
        <a:xfrm>
          <a:off x="10074960" y="4161960"/>
          <a:ext cx="24552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32</xdr:col>
      <xdr:colOff>82080</xdr:colOff>
      <xdr:row>23</xdr:row>
      <xdr:rowOff>101160</xdr:rowOff>
    </xdr:from>
    <xdr:to>
      <xdr:col>34</xdr:col>
      <xdr:colOff>41760</xdr:colOff>
      <xdr:row>24</xdr:row>
      <xdr:rowOff>52200</xdr:rowOff>
    </xdr:to>
    <xdr:sp>
      <xdr:nvSpPr>
        <xdr:cNvPr id="68" name="CustomShape 1"/>
        <xdr:cNvSpPr/>
      </xdr:nvSpPr>
      <xdr:spPr>
        <a:xfrm>
          <a:off x="10074960" y="3952080"/>
          <a:ext cx="246600" cy="11376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32</xdr:col>
      <xdr:colOff>82080</xdr:colOff>
      <xdr:row>23</xdr:row>
      <xdr:rowOff>158400</xdr:rowOff>
    </xdr:from>
    <xdr:to>
      <xdr:col>33</xdr:col>
      <xdr:colOff>115560</xdr:colOff>
      <xdr:row>23</xdr:row>
      <xdr:rowOff>158760</xdr:rowOff>
    </xdr:to>
    <xdr:sp>
      <xdr:nvSpPr>
        <xdr:cNvPr id="69" name="CustomShape 1"/>
        <xdr:cNvSpPr/>
      </xdr:nvSpPr>
      <xdr:spPr>
        <a:xfrm>
          <a:off x="10074960" y="4009320"/>
          <a:ext cx="1767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31</xdr:col>
      <xdr:colOff>102600</xdr:colOff>
      <xdr:row>22</xdr:row>
      <xdr:rowOff>110520</xdr:rowOff>
    </xdr:from>
    <xdr:to>
      <xdr:col>34</xdr:col>
      <xdr:colOff>61920</xdr:colOff>
      <xdr:row>23</xdr:row>
      <xdr:rowOff>61920</xdr:rowOff>
    </xdr:to>
    <xdr:sp>
      <xdr:nvSpPr>
        <xdr:cNvPr id="70" name="CustomShape 1"/>
        <xdr:cNvSpPr/>
      </xdr:nvSpPr>
      <xdr:spPr>
        <a:xfrm>
          <a:off x="9951840" y="3799080"/>
          <a:ext cx="389880" cy="11376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31</xdr:col>
      <xdr:colOff>102600</xdr:colOff>
      <xdr:row>23</xdr:row>
      <xdr:rowOff>5760</xdr:rowOff>
    </xdr:from>
    <xdr:to>
      <xdr:col>34</xdr:col>
      <xdr:colOff>60840</xdr:colOff>
      <xdr:row>23</xdr:row>
      <xdr:rowOff>6120</xdr:rowOff>
    </xdr:to>
    <xdr:sp>
      <xdr:nvSpPr>
        <xdr:cNvPr id="71" name="CustomShape 1"/>
        <xdr:cNvSpPr/>
      </xdr:nvSpPr>
      <xdr:spPr>
        <a:xfrm>
          <a:off x="9951840" y="3856680"/>
          <a:ext cx="38880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31</xdr:col>
      <xdr:colOff>102600</xdr:colOff>
      <xdr:row>21</xdr:row>
      <xdr:rowOff>121320</xdr:rowOff>
    </xdr:from>
    <xdr:to>
      <xdr:col>34</xdr:col>
      <xdr:colOff>61920</xdr:colOff>
      <xdr:row>22</xdr:row>
      <xdr:rowOff>71640</xdr:rowOff>
    </xdr:to>
    <xdr:sp>
      <xdr:nvSpPr>
        <xdr:cNvPr id="72" name="CustomShape 1"/>
        <xdr:cNvSpPr/>
      </xdr:nvSpPr>
      <xdr:spPr>
        <a:xfrm>
          <a:off x="9951840" y="3647160"/>
          <a:ext cx="389880" cy="11304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31</xdr:col>
      <xdr:colOff>102600</xdr:colOff>
      <xdr:row>22</xdr:row>
      <xdr:rowOff>15480</xdr:rowOff>
    </xdr:from>
    <xdr:to>
      <xdr:col>34</xdr:col>
      <xdr:colOff>1800</xdr:colOff>
      <xdr:row>22</xdr:row>
      <xdr:rowOff>15840</xdr:rowOff>
    </xdr:to>
    <xdr:sp>
      <xdr:nvSpPr>
        <xdr:cNvPr id="73" name="CustomShape 1"/>
        <xdr:cNvSpPr/>
      </xdr:nvSpPr>
      <xdr:spPr>
        <a:xfrm>
          <a:off x="9951840" y="3704040"/>
          <a:ext cx="3297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31</xdr:col>
      <xdr:colOff>102600</xdr:colOff>
      <xdr:row>20</xdr:row>
      <xdr:rowOff>131040</xdr:rowOff>
    </xdr:from>
    <xdr:to>
      <xdr:col>49</xdr:col>
      <xdr:colOff>102240</xdr:colOff>
      <xdr:row>21</xdr:row>
      <xdr:rowOff>82440</xdr:rowOff>
    </xdr:to>
    <xdr:sp>
      <xdr:nvSpPr>
        <xdr:cNvPr id="74" name="CustomShape 1"/>
        <xdr:cNvSpPr/>
      </xdr:nvSpPr>
      <xdr:spPr>
        <a:xfrm>
          <a:off x="9951840" y="3494520"/>
          <a:ext cx="2583000" cy="11376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31</xdr:col>
      <xdr:colOff>102600</xdr:colOff>
      <xdr:row>21</xdr:row>
      <xdr:rowOff>26280</xdr:rowOff>
    </xdr:from>
    <xdr:to>
      <xdr:col>33</xdr:col>
      <xdr:colOff>93960</xdr:colOff>
      <xdr:row>21</xdr:row>
      <xdr:rowOff>26640</xdr:rowOff>
    </xdr:to>
    <xdr:sp>
      <xdr:nvSpPr>
        <xdr:cNvPr id="75" name="CustomShape 1"/>
        <xdr:cNvSpPr/>
      </xdr:nvSpPr>
      <xdr:spPr>
        <a:xfrm>
          <a:off x="9951840" y="3552120"/>
          <a:ext cx="27828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52</xdr:col>
      <xdr:colOff>101880</xdr:colOff>
      <xdr:row>19</xdr:row>
      <xdr:rowOff>141480</xdr:rowOff>
    </xdr:from>
    <xdr:to>
      <xdr:col>52</xdr:col>
      <xdr:colOff>122400</xdr:colOff>
      <xdr:row>20</xdr:row>
      <xdr:rowOff>91800</xdr:rowOff>
    </xdr:to>
    <xdr:sp>
      <xdr:nvSpPr>
        <xdr:cNvPr id="76" name="CustomShape 1"/>
        <xdr:cNvSpPr/>
      </xdr:nvSpPr>
      <xdr:spPr>
        <a:xfrm>
          <a:off x="12965040" y="3342240"/>
          <a:ext cx="20520" cy="11304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52</xdr:col>
      <xdr:colOff>101880</xdr:colOff>
      <xdr:row>20</xdr:row>
      <xdr:rowOff>35640</xdr:rowOff>
    </xdr:from>
    <xdr:to>
      <xdr:col>52</xdr:col>
      <xdr:colOff>102240</xdr:colOff>
      <xdr:row>20</xdr:row>
      <xdr:rowOff>36000</xdr:rowOff>
    </xdr:to>
    <xdr:sp>
      <xdr:nvSpPr>
        <xdr:cNvPr id="77" name="CustomShape 1" hidden="1"/>
        <xdr:cNvSpPr/>
      </xdr:nvSpPr>
      <xdr:spPr>
        <a:xfrm>
          <a:off x="12965040" y="339912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52</xdr:col>
      <xdr:colOff>101880</xdr:colOff>
      <xdr:row>18</xdr:row>
      <xdr:rowOff>151200</xdr:rowOff>
    </xdr:from>
    <xdr:to>
      <xdr:col>52</xdr:col>
      <xdr:colOff>122400</xdr:colOff>
      <xdr:row>19</xdr:row>
      <xdr:rowOff>102600</xdr:rowOff>
    </xdr:to>
    <xdr:sp>
      <xdr:nvSpPr>
        <xdr:cNvPr id="78" name="CustomShape 1"/>
        <xdr:cNvSpPr/>
      </xdr:nvSpPr>
      <xdr:spPr>
        <a:xfrm>
          <a:off x="12965040" y="3189600"/>
          <a:ext cx="20520" cy="11376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52</xdr:col>
      <xdr:colOff>101880</xdr:colOff>
      <xdr:row>19</xdr:row>
      <xdr:rowOff>46440</xdr:rowOff>
    </xdr:from>
    <xdr:to>
      <xdr:col>52</xdr:col>
      <xdr:colOff>102240</xdr:colOff>
      <xdr:row>19</xdr:row>
      <xdr:rowOff>46800</xdr:rowOff>
    </xdr:to>
    <xdr:sp>
      <xdr:nvSpPr>
        <xdr:cNvPr id="79" name="CustomShape 1" hidden="1"/>
        <xdr:cNvSpPr/>
      </xdr:nvSpPr>
      <xdr:spPr>
        <a:xfrm>
          <a:off x="12965040" y="324720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50</xdr:col>
      <xdr:colOff>20880</xdr:colOff>
      <xdr:row>18</xdr:row>
      <xdr:rowOff>-360</xdr:rowOff>
    </xdr:from>
    <xdr:to>
      <xdr:col>52</xdr:col>
      <xdr:colOff>122760</xdr:colOff>
      <xdr:row>18</xdr:row>
      <xdr:rowOff>112320</xdr:rowOff>
    </xdr:to>
    <xdr:sp>
      <xdr:nvSpPr>
        <xdr:cNvPr id="80" name="CustomShape 1"/>
        <xdr:cNvSpPr/>
      </xdr:nvSpPr>
      <xdr:spPr>
        <a:xfrm>
          <a:off x="12596760" y="3038040"/>
          <a:ext cx="389160" cy="11268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50</xdr:col>
      <xdr:colOff>20880</xdr:colOff>
      <xdr:row>18</xdr:row>
      <xdr:rowOff>56160</xdr:rowOff>
    </xdr:from>
    <xdr:to>
      <xdr:col>50</xdr:col>
      <xdr:colOff>21240</xdr:colOff>
      <xdr:row>18</xdr:row>
      <xdr:rowOff>56520</xdr:rowOff>
    </xdr:to>
    <xdr:sp>
      <xdr:nvSpPr>
        <xdr:cNvPr id="81" name="CustomShape 1" hidden="1"/>
        <xdr:cNvSpPr/>
      </xdr:nvSpPr>
      <xdr:spPr>
        <a:xfrm>
          <a:off x="12596760" y="309456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49</xdr:col>
      <xdr:colOff>20520</xdr:colOff>
      <xdr:row>17</xdr:row>
      <xdr:rowOff>9720</xdr:rowOff>
    </xdr:from>
    <xdr:to>
      <xdr:col>49</xdr:col>
      <xdr:colOff>122760</xdr:colOff>
      <xdr:row>17</xdr:row>
      <xdr:rowOff>123120</xdr:rowOff>
    </xdr:to>
    <xdr:sp>
      <xdr:nvSpPr>
        <xdr:cNvPr id="82" name="CustomShape 1"/>
        <xdr:cNvSpPr/>
      </xdr:nvSpPr>
      <xdr:spPr>
        <a:xfrm>
          <a:off x="12453120" y="2885400"/>
          <a:ext cx="10224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49</xdr:col>
      <xdr:colOff>20520</xdr:colOff>
      <xdr:row>17</xdr:row>
      <xdr:rowOff>66960</xdr:rowOff>
    </xdr:from>
    <xdr:to>
      <xdr:col>49</xdr:col>
      <xdr:colOff>20880</xdr:colOff>
      <xdr:row>17</xdr:row>
      <xdr:rowOff>67320</xdr:rowOff>
    </xdr:to>
    <xdr:sp>
      <xdr:nvSpPr>
        <xdr:cNvPr id="83" name="CustomShape 1" hidden="1"/>
        <xdr:cNvSpPr/>
      </xdr:nvSpPr>
      <xdr:spPr>
        <a:xfrm>
          <a:off x="12453120" y="294264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49</xdr:col>
      <xdr:colOff>20520</xdr:colOff>
      <xdr:row>16</xdr:row>
      <xdr:rowOff>19080</xdr:rowOff>
    </xdr:from>
    <xdr:to>
      <xdr:col>52</xdr:col>
      <xdr:colOff>122760</xdr:colOff>
      <xdr:row>16</xdr:row>
      <xdr:rowOff>132480</xdr:rowOff>
    </xdr:to>
    <xdr:sp>
      <xdr:nvSpPr>
        <xdr:cNvPr id="84" name="CustomShape 1"/>
        <xdr:cNvSpPr/>
      </xdr:nvSpPr>
      <xdr:spPr>
        <a:xfrm>
          <a:off x="12453120" y="2732400"/>
          <a:ext cx="532800" cy="11340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49</xdr:col>
      <xdr:colOff>20520</xdr:colOff>
      <xdr:row>16</xdr:row>
      <xdr:rowOff>76320</xdr:rowOff>
    </xdr:from>
    <xdr:to>
      <xdr:col>49</xdr:col>
      <xdr:colOff>20880</xdr:colOff>
      <xdr:row>16</xdr:row>
      <xdr:rowOff>76680</xdr:rowOff>
    </xdr:to>
    <xdr:sp>
      <xdr:nvSpPr>
        <xdr:cNvPr id="85" name="CustomShape 1" hidden="1"/>
        <xdr:cNvSpPr/>
      </xdr:nvSpPr>
      <xdr:spPr>
        <a:xfrm>
          <a:off x="12453120" y="278964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34</xdr:col>
      <xdr:colOff>41400</xdr:colOff>
      <xdr:row>14</xdr:row>
      <xdr:rowOff>21240</xdr:rowOff>
    </xdr:from>
    <xdr:to>
      <xdr:col>34</xdr:col>
      <xdr:colOff>61920</xdr:colOff>
      <xdr:row>14</xdr:row>
      <xdr:rowOff>141840</xdr:rowOff>
    </xdr:to>
    <xdr:sp>
      <xdr:nvSpPr>
        <xdr:cNvPr id="86" name="CustomShape 1"/>
        <xdr:cNvSpPr/>
      </xdr:nvSpPr>
      <xdr:spPr>
        <a:xfrm>
          <a:off x="10321200" y="2409120"/>
          <a:ext cx="20520" cy="1206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34</xdr:col>
      <xdr:colOff>41400</xdr:colOff>
      <xdr:row>14</xdr:row>
      <xdr:rowOff>82080</xdr:rowOff>
    </xdr:from>
    <xdr:to>
      <xdr:col>34</xdr:col>
      <xdr:colOff>60840</xdr:colOff>
      <xdr:row>14</xdr:row>
      <xdr:rowOff>82440</xdr:rowOff>
    </xdr:to>
    <xdr:sp>
      <xdr:nvSpPr>
        <xdr:cNvPr id="87" name="CustomShape 1"/>
        <xdr:cNvSpPr/>
      </xdr:nvSpPr>
      <xdr:spPr>
        <a:xfrm>
          <a:off x="10321200" y="2469960"/>
          <a:ext cx="1944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44</xdr:col>
      <xdr:colOff>61560</xdr:colOff>
      <xdr:row>13</xdr:row>
      <xdr:rowOff>19080</xdr:rowOff>
    </xdr:from>
    <xdr:to>
      <xdr:col>48</xdr:col>
      <xdr:colOff>21240</xdr:colOff>
      <xdr:row>13</xdr:row>
      <xdr:rowOff>132480</xdr:rowOff>
    </xdr:to>
    <xdr:sp>
      <xdr:nvSpPr>
        <xdr:cNvPr id="88" name="CustomShape 1"/>
        <xdr:cNvSpPr/>
      </xdr:nvSpPr>
      <xdr:spPr>
        <a:xfrm>
          <a:off x="11776320" y="2244600"/>
          <a:ext cx="53388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44</xdr:col>
      <xdr:colOff>61560</xdr:colOff>
      <xdr:row>13</xdr:row>
      <xdr:rowOff>76320</xdr:rowOff>
    </xdr:from>
    <xdr:to>
      <xdr:col>44</xdr:col>
      <xdr:colOff>61920</xdr:colOff>
      <xdr:row>13</xdr:row>
      <xdr:rowOff>76680</xdr:rowOff>
    </xdr:to>
    <xdr:sp>
      <xdr:nvSpPr>
        <xdr:cNvPr id="89" name="CustomShape 1" hidden="1"/>
        <xdr:cNvSpPr/>
      </xdr:nvSpPr>
      <xdr:spPr>
        <a:xfrm>
          <a:off x="11776320" y="230184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39</xdr:col>
      <xdr:colOff>41400</xdr:colOff>
      <xdr:row>12</xdr:row>
      <xdr:rowOff>21240</xdr:rowOff>
    </xdr:from>
    <xdr:to>
      <xdr:col>39</xdr:col>
      <xdr:colOff>61920</xdr:colOff>
      <xdr:row>12</xdr:row>
      <xdr:rowOff>142200</xdr:rowOff>
    </xdr:to>
    <xdr:sp>
      <xdr:nvSpPr>
        <xdr:cNvPr id="90" name="CustomShape 1"/>
        <xdr:cNvSpPr/>
      </xdr:nvSpPr>
      <xdr:spPr>
        <a:xfrm>
          <a:off x="11038680" y="2084040"/>
          <a:ext cx="20520" cy="12096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39</xdr:col>
      <xdr:colOff>41400</xdr:colOff>
      <xdr:row>12</xdr:row>
      <xdr:rowOff>82440</xdr:rowOff>
    </xdr:from>
    <xdr:to>
      <xdr:col>39</xdr:col>
      <xdr:colOff>41760</xdr:colOff>
      <xdr:row>12</xdr:row>
      <xdr:rowOff>82800</xdr:rowOff>
    </xdr:to>
    <xdr:sp>
      <xdr:nvSpPr>
        <xdr:cNvPr id="91" name="CustomShape 1" hidden="1"/>
        <xdr:cNvSpPr/>
      </xdr:nvSpPr>
      <xdr:spPr>
        <a:xfrm>
          <a:off x="11038680" y="2145240"/>
          <a:ext cx="3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34</xdr:col>
      <xdr:colOff>102600</xdr:colOff>
      <xdr:row>11</xdr:row>
      <xdr:rowOff>19080</xdr:rowOff>
    </xdr:from>
    <xdr:to>
      <xdr:col>35</xdr:col>
      <xdr:colOff>61200</xdr:colOff>
      <xdr:row>11</xdr:row>
      <xdr:rowOff>132480</xdr:rowOff>
    </xdr:to>
    <xdr:sp>
      <xdr:nvSpPr>
        <xdr:cNvPr id="92" name="CustomShape 1"/>
        <xdr:cNvSpPr/>
      </xdr:nvSpPr>
      <xdr:spPr>
        <a:xfrm>
          <a:off x="10382400" y="1919520"/>
          <a:ext cx="10224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34</xdr:col>
      <xdr:colOff>102600</xdr:colOff>
      <xdr:row>11</xdr:row>
      <xdr:rowOff>76320</xdr:rowOff>
    </xdr:from>
    <xdr:to>
      <xdr:col>35</xdr:col>
      <xdr:colOff>60120</xdr:colOff>
      <xdr:row>11</xdr:row>
      <xdr:rowOff>76680</xdr:rowOff>
    </xdr:to>
    <xdr:sp>
      <xdr:nvSpPr>
        <xdr:cNvPr id="93" name="CustomShape 1"/>
        <xdr:cNvSpPr/>
      </xdr:nvSpPr>
      <xdr:spPr>
        <a:xfrm>
          <a:off x="10382400" y="1976760"/>
          <a:ext cx="1011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34</xdr:col>
      <xdr:colOff>41400</xdr:colOff>
      <xdr:row>10</xdr:row>
      <xdr:rowOff>19800</xdr:rowOff>
    </xdr:from>
    <xdr:to>
      <xdr:col>48</xdr:col>
      <xdr:colOff>21240</xdr:colOff>
      <xdr:row>10</xdr:row>
      <xdr:rowOff>133200</xdr:rowOff>
    </xdr:to>
    <xdr:sp>
      <xdr:nvSpPr>
        <xdr:cNvPr id="94" name="CustomShape 1"/>
        <xdr:cNvSpPr/>
      </xdr:nvSpPr>
      <xdr:spPr>
        <a:xfrm>
          <a:off x="10321200" y="1757520"/>
          <a:ext cx="1989000" cy="11340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34</xdr:col>
      <xdr:colOff>41400</xdr:colOff>
      <xdr:row>10</xdr:row>
      <xdr:rowOff>77040</xdr:rowOff>
    </xdr:from>
    <xdr:to>
      <xdr:col>36</xdr:col>
      <xdr:colOff>24120</xdr:colOff>
      <xdr:row>10</xdr:row>
      <xdr:rowOff>77400</xdr:rowOff>
    </xdr:to>
    <xdr:sp>
      <xdr:nvSpPr>
        <xdr:cNvPr id="95" name="CustomShape 1"/>
        <xdr:cNvSpPr/>
      </xdr:nvSpPr>
      <xdr:spPr>
        <a:xfrm>
          <a:off x="10321200" y="1814760"/>
          <a:ext cx="26964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34</xdr:col>
      <xdr:colOff>41400</xdr:colOff>
      <xdr:row>9</xdr:row>
      <xdr:rowOff>20520</xdr:rowOff>
    </xdr:from>
    <xdr:to>
      <xdr:col>34</xdr:col>
      <xdr:colOff>61920</xdr:colOff>
      <xdr:row>9</xdr:row>
      <xdr:rowOff>141120</xdr:rowOff>
    </xdr:to>
    <xdr:sp>
      <xdr:nvSpPr>
        <xdr:cNvPr id="96" name="CustomShape 1"/>
        <xdr:cNvSpPr/>
      </xdr:nvSpPr>
      <xdr:spPr>
        <a:xfrm>
          <a:off x="10321200" y="1595880"/>
          <a:ext cx="20520" cy="1206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34</xdr:col>
      <xdr:colOff>41400</xdr:colOff>
      <xdr:row>9</xdr:row>
      <xdr:rowOff>81360</xdr:rowOff>
    </xdr:from>
    <xdr:to>
      <xdr:col>34</xdr:col>
      <xdr:colOff>60840</xdr:colOff>
      <xdr:row>9</xdr:row>
      <xdr:rowOff>81720</xdr:rowOff>
    </xdr:to>
    <xdr:sp>
      <xdr:nvSpPr>
        <xdr:cNvPr id="97" name="CustomShape 1"/>
        <xdr:cNvSpPr/>
      </xdr:nvSpPr>
      <xdr:spPr>
        <a:xfrm>
          <a:off x="10321200" y="1656720"/>
          <a:ext cx="1944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31</xdr:col>
      <xdr:colOff>102600</xdr:colOff>
      <xdr:row>8</xdr:row>
      <xdr:rowOff>19800</xdr:rowOff>
    </xdr:from>
    <xdr:to>
      <xdr:col>32</xdr:col>
      <xdr:colOff>102600</xdr:colOff>
      <xdr:row>8</xdr:row>
      <xdr:rowOff>133200</xdr:rowOff>
    </xdr:to>
    <xdr:sp>
      <xdr:nvSpPr>
        <xdr:cNvPr id="98" name="CustomShape 1"/>
        <xdr:cNvSpPr/>
      </xdr:nvSpPr>
      <xdr:spPr>
        <a:xfrm>
          <a:off x="9951840" y="1432440"/>
          <a:ext cx="143640" cy="11340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31</xdr:col>
      <xdr:colOff>102600</xdr:colOff>
      <xdr:row>8</xdr:row>
      <xdr:rowOff>77040</xdr:rowOff>
    </xdr:from>
    <xdr:to>
      <xdr:col>32</xdr:col>
      <xdr:colOff>101160</xdr:colOff>
      <xdr:row>8</xdr:row>
      <xdr:rowOff>77400</xdr:rowOff>
    </xdr:to>
    <xdr:sp>
      <xdr:nvSpPr>
        <xdr:cNvPr id="99" name="CustomShape 1"/>
        <xdr:cNvSpPr/>
      </xdr:nvSpPr>
      <xdr:spPr>
        <a:xfrm>
          <a:off x="9951840" y="1489680"/>
          <a:ext cx="14220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31</xdr:col>
      <xdr:colOff>102600</xdr:colOff>
      <xdr:row>7</xdr:row>
      <xdr:rowOff>19080</xdr:rowOff>
    </xdr:from>
    <xdr:to>
      <xdr:col>34</xdr:col>
      <xdr:colOff>61920</xdr:colOff>
      <xdr:row>7</xdr:row>
      <xdr:rowOff>132480</xdr:rowOff>
    </xdr:to>
    <xdr:sp>
      <xdr:nvSpPr>
        <xdr:cNvPr id="100" name="CustomShape 1"/>
        <xdr:cNvSpPr/>
      </xdr:nvSpPr>
      <xdr:spPr>
        <a:xfrm>
          <a:off x="9951840" y="1269360"/>
          <a:ext cx="389880" cy="11340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31</xdr:col>
      <xdr:colOff>102600</xdr:colOff>
      <xdr:row>7</xdr:row>
      <xdr:rowOff>76320</xdr:rowOff>
    </xdr:from>
    <xdr:to>
      <xdr:col>34</xdr:col>
      <xdr:colOff>60840</xdr:colOff>
      <xdr:row>7</xdr:row>
      <xdr:rowOff>76680</xdr:rowOff>
    </xdr:to>
    <xdr:sp>
      <xdr:nvSpPr>
        <xdr:cNvPr id="101" name="CustomShape 1"/>
        <xdr:cNvSpPr/>
      </xdr:nvSpPr>
      <xdr:spPr>
        <a:xfrm>
          <a:off x="9951840" y="1326600"/>
          <a:ext cx="38880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31</xdr:col>
      <xdr:colOff>21240</xdr:colOff>
      <xdr:row>6</xdr:row>
      <xdr:rowOff>21240</xdr:rowOff>
    </xdr:from>
    <xdr:to>
      <xdr:col>31</xdr:col>
      <xdr:colOff>62280</xdr:colOff>
      <xdr:row>6</xdr:row>
      <xdr:rowOff>142200</xdr:rowOff>
    </xdr:to>
    <xdr:sp>
      <xdr:nvSpPr>
        <xdr:cNvPr id="102" name="CustomShape 1"/>
        <xdr:cNvSpPr/>
      </xdr:nvSpPr>
      <xdr:spPr>
        <a:xfrm>
          <a:off x="9870480" y="1108800"/>
          <a:ext cx="41040" cy="120960"/>
        </a:xfrm>
        <a:prstGeom prst="rect">
          <a:avLst/>
        </a:prstGeom>
        <a:solidFill>
          <a:srgbClr val="2f83ff">
            <a:alpha val="30000"/>
          </a:srgbClr>
        </a:solidFill>
        <a:ln w="6480">
          <a:noFill/>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31</xdr:col>
      <xdr:colOff>21240</xdr:colOff>
      <xdr:row>6</xdr:row>
      <xdr:rowOff>82440</xdr:rowOff>
    </xdr:from>
    <xdr:to>
      <xdr:col>31</xdr:col>
      <xdr:colOff>60840</xdr:colOff>
      <xdr:row>6</xdr:row>
      <xdr:rowOff>82800</xdr:rowOff>
    </xdr:to>
    <xdr:sp>
      <xdr:nvSpPr>
        <xdr:cNvPr id="103" name="CustomShape 1"/>
        <xdr:cNvSpPr/>
      </xdr:nvSpPr>
      <xdr:spPr>
        <a:xfrm>
          <a:off x="9870480" y="1170000"/>
          <a:ext cx="3960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31</xdr:col>
      <xdr:colOff>21240</xdr:colOff>
      <xdr:row>5</xdr:row>
      <xdr:rowOff>19800</xdr:rowOff>
    </xdr:from>
    <xdr:to>
      <xdr:col>34</xdr:col>
      <xdr:colOff>62280</xdr:colOff>
      <xdr:row>5</xdr:row>
      <xdr:rowOff>133200</xdr:rowOff>
    </xdr:to>
    <xdr:sp>
      <xdr:nvSpPr>
        <xdr:cNvPr id="104" name="CustomShape 1"/>
        <xdr:cNvSpPr/>
      </xdr:nvSpPr>
      <xdr:spPr>
        <a:xfrm>
          <a:off x="9870480" y="944640"/>
          <a:ext cx="471600" cy="11340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31</xdr:col>
      <xdr:colOff>21240</xdr:colOff>
      <xdr:row>5</xdr:row>
      <xdr:rowOff>77040</xdr:rowOff>
    </xdr:from>
    <xdr:to>
      <xdr:col>34</xdr:col>
      <xdr:colOff>60840</xdr:colOff>
      <xdr:row>5</xdr:row>
      <xdr:rowOff>77400</xdr:rowOff>
    </xdr:to>
    <xdr:sp>
      <xdr:nvSpPr>
        <xdr:cNvPr id="105" name="CustomShape 1"/>
        <xdr:cNvSpPr/>
      </xdr:nvSpPr>
      <xdr:spPr>
        <a:xfrm>
          <a:off x="9870480" y="1001880"/>
          <a:ext cx="47016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twoCellAnchor editAs="twoCell">
    <xdr:from>
      <xdr:col>31</xdr:col>
      <xdr:colOff>21240</xdr:colOff>
      <xdr:row>4</xdr:row>
      <xdr:rowOff>19080</xdr:rowOff>
    </xdr:from>
    <xdr:to>
      <xdr:col>52</xdr:col>
      <xdr:colOff>122760</xdr:colOff>
      <xdr:row>4</xdr:row>
      <xdr:rowOff>132480</xdr:rowOff>
    </xdr:to>
    <xdr:sp>
      <xdr:nvSpPr>
        <xdr:cNvPr id="106" name="CustomShape 1"/>
        <xdr:cNvSpPr/>
      </xdr:nvSpPr>
      <xdr:spPr>
        <a:xfrm>
          <a:off x="9870480" y="781560"/>
          <a:ext cx="3115440" cy="113400"/>
        </a:xfrm>
        <a:prstGeom prst="rect">
          <a:avLst/>
        </a:prstGeom>
        <a:solidFill>
          <a:srgbClr val="ffc000">
            <a:alpha val="30000"/>
          </a:srgbClr>
        </a:solidFill>
        <a:ln w="6480">
          <a:solidFill>
            <a:srgbClr val="ffc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31</xdr:col>
      <xdr:colOff>21240</xdr:colOff>
      <xdr:row>4</xdr:row>
      <xdr:rowOff>76320</xdr:rowOff>
    </xdr:from>
    <xdr:to>
      <xdr:col>35</xdr:col>
      <xdr:colOff>130320</xdr:colOff>
      <xdr:row>4</xdr:row>
      <xdr:rowOff>76680</xdr:rowOff>
    </xdr:to>
    <xdr:sp>
      <xdr:nvSpPr>
        <xdr:cNvPr id="107" name="CustomShape 1"/>
        <xdr:cNvSpPr/>
      </xdr:nvSpPr>
      <xdr:spPr>
        <a:xfrm>
          <a:off x="9870480" y="838800"/>
          <a:ext cx="683280" cy="360"/>
        </a:xfrm>
        <a:custGeom>
          <a:avLst/>
          <a:gdLst/>
          <a:ahLst/>
          <a:rect l="l" t="t" r="r" b="b"/>
          <a:pathLst>
            <a:path w="21600" h="21600">
              <a:moveTo>
                <a:pt x="0" y="0"/>
              </a:moveTo>
              <a:lnTo>
                <a:pt x="21600" y="21600"/>
              </a:lnTo>
            </a:path>
          </a:pathLst>
        </a:custGeom>
        <a:noFill/>
        <a:ln w="31680">
          <a:solidFill>
            <a:srgbClr val="0066ff"/>
          </a:solidFill>
          <a:round/>
        </a:ln>
      </xdr:spPr>
      <xdr:style>
        <a:lnRef idx="1">
          <a:schemeClr val="accent1"/>
        </a:lnRef>
        <a:fillRef idx="0">
          <a:schemeClr val="accent1"/>
        </a:fillRef>
        <a:effectRef idx="0">
          <a:schemeClr val="accent1"/>
        </a:effectRef>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173880</xdr:colOff>
      <xdr:row>5</xdr:row>
      <xdr:rowOff>0</xdr:rowOff>
    </xdr:from>
    <xdr:to>
      <xdr:col>18</xdr:col>
      <xdr:colOff>572760</xdr:colOff>
      <xdr:row>18</xdr:row>
      <xdr:rowOff>67680</xdr:rowOff>
    </xdr:to>
    <xdr:graphicFrame>
      <xdr:nvGraphicFramePr>
        <xdr:cNvPr id="108" name="차트 3"/>
        <xdr:cNvGraphicFramePr/>
      </xdr:nvGraphicFramePr>
      <xdr:xfrm>
        <a:off x="8348760" y="1231200"/>
        <a:ext cx="4605120" cy="27421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sheetData sheetId="2"/>
      <sheetData sheetId="3"/>
      <sheetData sheetId="4"/>
      <sheetData sheetId="5"/>
      <sheetData sheetId="6"/>
    </sheetDataSet>
  </externalBook>
</externalLink>
</file>

<file path=xl/worksheets/_rels/sheet2.xml.rels><?xml version="1.0" encoding="UTF-8"?>
<Relationships xmlns="http://schemas.openxmlformats.org/package/2006/relationships"><Relationship Id="rId1" Type="http://schemas.openxmlformats.org/officeDocument/2006/relationships/hyperlink" Target="http://xlworks.net/" TargetMode="External"/><Relationship Id="rId2" Type="http://schemas.openxmlformats.org/officeDocument/2006/relationships/hyperlink" Target="https://xlworks.net/xlgantt-project-scheduler/" TargetMode="External"/><Relationship Id="rId3" Type="http://schemas.openxmlformats.org/officeDocument/2006/relationships/hyperlink" Target="https://xlworks.net/xlgantt_easy_tip/" TargetMode="External"/><Relationship Id="rId4" Type="http://schemas.openxmlformats.org/officeDocument/2006/relationships/hyperlink" Target="https://xlworks.net/xlgantt_howto_02_task/" TargetMode="External"/><Relationship Id="rId5" Type="http://schemas.openxmlformats.org/officeDocument/2006/relationships/hyperlink" Target="https://xlworks.net/xlgantt_howto_03_gantt_chart/" TargetMode="External"/><Relationship Id="rId6" Type="http://schemas.openxmlformats.org/officeDocument/2006/relationships/hyperlink" Target="https://xlworks.net/xlgantt_howto_04_project_progress/" TargetMode="External"/><Relationship Id="rId7" Type="http://schemas.openxmlformats.org/officeDocument/2006/relationships/hyperlink" Target="https://xlworks.net/xlgantt_howto_05_analysis_report/" TargetMode="External"/><Relationship Id="rId8" Type="http://schemas.openxmlformats.org/officeDocument/2006/relationships/hyperlink" Target="https://xlworks.net/xlgantt_howto_06_schedule_change_management/" TargetMode="External"/><Relationship Id="rId9" Type="http://schemas.openxmlformats.org/officeDocument/2006/relationships/hyperlink" Target="https://xlworks.net/xlgantt-howto-07-deliverables/" TargetMode="External"/><Relationship Id="rId10" Type="http://schemas.openxmlformats.org/officeDocument/2006/relationships/hyperlink" Target="https://xlworks.net/xlgantt-howto-08-add-tasks-to-outlook/" TargetMode="External"/><Relationship Id="rId11" Type="http://schemas.openxmlformats.org/officeDocument/2006/relationships/hyperlink" Target="https://xlworks.net/xlgantt-howto-09-multilingual-support/" TargetMode="External"/><Relationship Id="rId12" Type="http://schemas.openxmlformats.org/officeDocument/2006/relationships/hyperlink" Target="https://xlworks.net/xlgantt-howto-10-import-schedule/" TargetMode="External"/><Relationship Id="rId13" Type="http://schemas.openxmlformats.org/officeDocument/2006/relationships/hyperlink" Target="https://xlworks.net/xlgantt-howto-11-calendar/" TargetMode="External"/><Relationship Id="rId14" Type="http://schemas.openxmlformats.org/officeDocument/2006/relationships/hyperlink" Target="https://xlworks.net/xlgantt-howto-12-integration-with-excel/" TargetMode="External"/><Relationship Id="rId15" Type="http://schemas.openxmlformats.org/officeDocument/2006/relationships/hyperlink" Target="https://xlworks.net/xlgantt-howto-13-server-data" TargetMode="External"/>
</Relationships>
</file>

<file path=xl/worksheets/_rels/sheet3.xml.rels><?xml version="1.0" encoding="UTF-8"?>
<Relationships xmlns="http://schemas.openxmlformats.org/package/2006/relationships"><Relationship Id="rId1" Type="http://schemas.openxmlformats.org/officeDocument/2006/relationships/hyperlink" Target="http://xlworks.net/" TargetMode="External"/><Relationship Id="rId2"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BL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24" activeCellId="0" sqref="C24"/>
    </sheetView>
  </sheetViews>
  <sheetFormatPr defaultRowHeight="12.75" zeroHeight="false" outlineLevelRow="0" outlineLevelCol="0"/>
  <cols>
    <col collapsed="false" customWidth="true" hidden="false" outlineLevel="0" max="1" min="1" style="1" width="28.25"/>
    <col collapsed="false" customWidth="true" hidden="false" outlineLevel="0" max="2" min="2" style="2" width="23.13"/>
    <col collapsed="false" customWidth="true" hidden="false" outlineLevel="0" max="3" min="3" style="2" width="53.37"/>
    <col collapsed="false" customWidth="true" hidden="false" outlineLevel="0" max="4" min="4" style="2" width="27.38"/>
    <col collapsed="false" customWidth="true" hidden="false" outlineLevel="0" max="5" min="5" style="2" width="12.88"/>
    <col collapsed="false" customWidth="true" hidden="false" outlineLevel="0" max="6" min="6" style="2" width="17.77"/>
    <col collapsed="false" customWidth="true" hidden="false" outlineLevel="0" max="7" min="7" style="1" width="21.87"/>
    <col collapsed="false" customWidth="true" hidden="false" outlineLevel="0" max="8" min="8" style="1" width="23.75"/>
    <col collapsed="false" customWidth="true" hidden="false" outlineLevel="0" max="9" min="9" style="1" width="9.77"/>
    <col collapsed="false" customWidth="true" hidden="false" outlineLevel="0" max="10" min="10" style="1" width="25.13"/>
    <col collapsed="false" customWidth="true" hidden="false" outlineLevel="0" max="11" min="11" style="1" width="60.75"/>
    <col collapsed="false" customWidth="true" hidden="false" outlineLevel="0" max="12" min="12" style="1" width="25.13"/>
    <col collapsed="false" customWidth="true" hidden="false" outlineLevel="0" max="13" min="13" style="1" width="4.87"/>
    <col collapsed="false" customWidth="true" hidden="false" outlineLevel="0" max="14" min="14" style="1" width="23"/>
    <col collapsed="false" customWidth="true" hidden="false" outlineLevel="0" max="15" min="15" style="1" width="14.5"/>
    <col collapsed="false" customWidth="true" hidden="false" outlineLevel="0" max="16" min="16" style="1" width="28.38"/>
    <col collapsed="false" customWidth="true" hidden="false" outlineLevel="0" max="17" min="17" style="1" width="9.5"/>
    <col collapsed="false" customWidth="true" hidden="false" outlineLevel="0" max="18" min="18" style="1" width="27.75"/>
    <col collapsed="false" customWidth="true" hidden="false" outlineLevel="0" max="19" min="19" style="1" width="4.87"/>
    <col collapsed="false" customWidth="true" hidden="false" outlineLevel="0" max="20" min="20" style="1" width="25"/>
    <col collapsed="false" customWidth="true" hidden="false" outlineLevel="0" max="21" min="21" style="1" width="4.37"/>
    <col collapsed="false" customWidth="true" hidden="false" outlineLevel="0" max="22" min="22" style="1" width="23"/>
    <col collapsed="false" customWidth="true" hidden="false" outlineLevel="0" max="23" min="23" style="1" width="8.12"/>
    <col collapsed="false" customWidth="true" hidden="false" outlineLevel="0" max="24" min="24" style="1" width="22.62"/>
    <col collapsed="false" customWidth="true" hidden="false" outlineLevel="0" max="25" min="25" style="1" width="9.5"/>
    <col collapsed="false" customWidth="true" hidden="false" outlineLevel="0" max="26" min="26" style="1" width="26.25"/>
    <col collapsed="false" customWidth="true" hidden="false" outlineLevel="0" max="27" min="27" style="1" width="7.87"/>
    <col collapsed="false" customWidth="true" hidden="false" outlineLevel="0" max="28" min="28" style="1" width="21.25"/>
    <col collapsed="false" customWidth="true" hidden="false" outlineLevel="0" max="29" min="29" style="1" width="15.62"/>
    <col collapsed="false" customWidth="true" hidden="false" outlineLevel="0" max="30" min="30" style="1" width="23.5"/>
    <col collapsed="false" customWidth="true" hidden="false" outlineLevel="0" max="31" min="31" style="1" width="39.62"/>
    <col collapsed="false" customWidth="true" hidden="false" outlineLevel="0" max="32" min="32" style="1" width="22.62"/>
    <col collapsed="false" customWidth="true" hidden="false" outlineLevel="0" max="33" min="33" style="1" width="60.87"/>
    <col collapsed="false" customWidth="true" hidden="false" outlineLevel="0" max="34" min="34" style="1" width="28.38"/>
    <col collapsed="false" customWidth="false" hidden="false" outlineLevel="0" max="35" min="35" style="1" width="11.5"/>
    <col collapsed="false" customWidth="true" hidden="false" outlineLevel="0" max="36" min="36" style="1" width="25.13"/>
    <col collapsed="false" customWidth="true" hidden="false" outlineLevel="0" max="37" min="37" style="1" width="4"/>
    <col collapsed="false" customWidth="true" hidden="false" outlineLevel="0" max="38" min="38" style="1" width="14.85"/>
    <col collapsed="false" customWidth="true" hidden="false" outlineLevel="0" max="39" min="39" style="1" width="11.63"/>
    <col collapsed="false" customWidth="true" hidden="false" outlineLevel="0" max="40" min="40" style="1" width="22.62"/>
    <col collapsed="false" customWidth="true" hidden="false" outlineLevel="0" max="41" min="41" style="1" width="5.87"/>
    <col collapsed="false" customWidth="true" hidden="false" outlineLevel="0" max="42" min="42" style="1" width="15.87"/>
    <col collapsed="false" customWidth="true" hidden="false" outlineLevel="0" max="43" min="43" style="1" width="6.38"/>
    <col collapsed="false" customWidth="true" hidden="false" outlineLevel="0" max="44" min="44" style="1" width="13.25"/>
    <col collapsed="false" customWidth="true" hidden="false" outlineLevel="0" max="45" min="45" style="1" width="3.24"/>
    <col collapsed="false" customWidth="true" hidden="false" outlineLevel="0" max="46" min="46" style="1" width="14.85"/>
    <col collapsed="false" customWidth="true" hidden="false" outlineLevel="0" max="47" min="47" style="1" width="28.63"/>
    <col collapsed="false" customWidth="true" hidden="false" outlineLevel="0" max="48" min="48" style="1" width="22.62"/>
    <col collapsed="false" customWidth="true" hidden="false" outlineLevel="0" max="49" min="49" style="1" width="5.38"/>
    <col collapsed="false" customWidth="true" hidden="false" outlineLevel="0" max="50" min="50" style="1" width="15.87"/>
    <col collapsed="false" customWidth="true" hidden="false" outlineLevel="0" max="51" min="51" style="1" width="10"/>
    <col collapsed="false" customWidth="true" hidden="false" outlineLevel="0" max="52" min="52" style="1" width="13.25"/>
    <col collapsed="false" customWidth="true" hidden="false" outlineLevel="0" max="53" min="53" style="1" width="10"/>
    <col collapsed="false" customWidth="true" hidden="false" outlineLevel="0" max="54" min="54" style="1" width="14.85"/>
    <col collapsed="false" customWidth="true" hidden="false" outlineLevel="0" max="55" min="55" style="1" width="10"/>
    <col collapsed="false" customWidth="true" hidden="false" outlineLevel="0" max="56" min="56" style="1" width="22.62"/>
    <col collapsed="false" customWidth="true" hidden="false" outlineLevel="0" max="57" min="57" style="1" width="10"/>
    <col collapsed="false" customWidth="true" hidden="false" outlineLevel="0" max="58" min="58" style="1" width="15.87"/>
    <col collapsed="false" customWidth="true" hidden="false" outlineLevel="0" max="59" min="59" style="1" width="10"/>
    <col collapsed="false" customWidth="true" hidden="false" outlineLevel="0" max="60" min="60" style="1" width="13.25"/>
    <col collapsed="false" customWidth="true" hidden="false" outlineLevel="0" max="61" min="61" style="1" width="10"/>
    <col collapsed="false" customWidth="true" hidden="false" outlineLevel="0" max="62" min="62" style="1" width="14.85"/>
    <col collapsed="false" customWidth="true" hidden="false" outlineLevel="0" max="63" min="63" style="1" width="10"/>
    <col collapsed="false" customWidth="true" hidden="false" outlineLevel="0" max="64" min="64" style="1" width="22.62"/>
    <col collapsed="false" customWidth="true" hidden="false" outlineLevel="0" max="65" min="65" style="1" width="10"/>
    <col collapsed="false" customWidth="true" hidden="false" outlineLevel="0" max="66" min="66" style="1" width="33.76"/>
    <col collapsed="false" customWidth="true" hidden="false" outlineLevel="0" max="1025" min="67" style="1" width="10"/>
  </cols>
  <sheetData>
    <row r="1" s="2" customFormat="true" ht="12.75" hidden="false" customHeight="false" outlineLevel="0" collapsed="false">
      <c r="A1" s="3" t="s">
        <v>0</v>
      </c>
      <c r="B1" s="3" t="s">
        <v>1</v>
      </c>
      <c r="C1" s="3" t="s">
        <v>2</v>
      </c>
      <c r="D1" s="3" t="s">
        <v>3</v>
      </c>
      <c r="E1" s="3" t="s">
        <v>4</v>
      </c>
      <c r="F1" s="3" t="s">
        <v>5</v>
      </c>
    </row>
    <row r="2" customFormat="false" ht="12.75" hidden="false" customHeight="false" outlineLevel="0" collapsed="false">
      <c r="A2" s="4" t="s">
        <v>6</v>
      </c>
      <c r="B2" s="5" t="s">
        <v>7</v>
      </c>
      <c r="C2" s="5"/>
      <c r="D2" s="5"/>
      <c r="E2" s="5" t="s">
        <v>8</v>
      </c>
      <c r="F2" s="5"/>
    </row>
    <row r="3" customFormat="false" ht="12.75" hidden="false" customHeight="false" outlineLevel="0" collapsed="false">
      <c r="A3" s="4" t="s">
        <v>9</v>
      </c>
      <c r="B3" s="5" t="s">
        <v>7</v>
      </c>
      <c r="C3" s="5"/>
      <c r="D3" s="5"/>
      <c r="E3" s="5" t="s">
        <v>8</v>
      </c>
      <c r="F3" s="5"/>
    </row>
    <row r="4" customFormat="false" ht="12.75" hidden="false" customHeight="false" outlineLevel="0" collapsed="false">
      <c r="A4" s="4" t="s">
        <v>10</v>
      </c>
      <c r="B4" s="6" t="s">
        <v>11</v>
      </c>
      <c r="C4" s="5"/>
      <c r="D4" s="5"/>
      <c r="E4" s="5" t="s">
        <v>8</v>
      </c>
      <c r="F4" s="5"/>
    </row>
    <row r="5" customFormat="false" ht="12.75" hidden="false" customHeight="false" outlineLevel="0" collapsed="false">
      <c r="A5" s="4" t="s">
        <v>12</v>
      </c>
      <c r="B5" s="5" t="s">
        <v>13</v>
      </c>
      <c r="C5" s="5"/>
      <c r="D5" s="5"/>
      <c r="E5" s="5" t="s">
        <v>8</v>
      </c>
      <c r="F5" s="5"/>
    </row>
    <row r="6" customFormat="false" ht="12.75" hidden="false" customHeight="false" outlineLevel="0" collapsed="false">
      <c r="A6" s="4" t="s">
        <v>14</v>
      </c>
      <c r="B6" s="6" t="s">
        <v>15</v>
      </c>
      <c r="C6" s="5"/>
      <c r="D6" s="5"/>
      <c r="E6" s="5" t="s">
        <v>8</v>
      </c>
      <c r="F6" s="5"/>
    </row>
    <row r="7" customFormat="false" ht="12.75" hidden="false" customHeight="false" outlineLevel="0" collapsed="false">
      <c r="A7" s="4" t="s">
        <v>16</v>
      </c>
      <c r="B7" s="4" t="s">
        <v>7</v>
      </c>
      <c r="C7" s="5"/>
      <c r="D7" s="5"/>
      <c r="E7" s="5" t="s">
        <v>8</v>
      </c>
      <c r="F7" s="5"/>
    </row>
    <row r="8" customFormat="false" ht="12.75" hidden="false" customHeight="false" outlineLevel="0" collapsed="false">
      <c r="A8" s="4" t="s">
        <v>17</v>
      </c>
      <c r="B8" s="5" t="s">
        <v>18</v>
      </c>
      <c r="C8" s="5" t="s">
        <v>19</v>
      </c>
      <c r="D8" s="5" t="n">
        <v>82</v>
      </c>
      <c r="E8" s="5" t="s">
        <v>8</v>
      </c>
      <c r="F8" s="5"/>
    </row>
    <row r="9" customFormat="false" ht="12.75" hidden="false" customHeight="false" outlineLevel="0" collapsed="false">
      <c r="A9" s="4" t="s">
        <v>20</v>
      </c>
      <c r="B9" s="7" t="n">
        <v>43734</v>
      </c>
      <c r="C9" s="5"/>
      <c r="D9" s="5"/>
      <c r="E9" s="5" t="s">
        <v>8</v>
      </c>
      <c r="F9" s="5"/>
    </row>
    <row r="10" customFormat="false" ht="12.75" hidden="false" customHeight="false" outlineLevel="0" collapsed="false">
      <c r="A10" s="8" t="s">
        <v>21</v>
      </c>
      <c r="B10" s="9" t="s">
        <v>22</v>
      </c>
      <c r="C10" s="9"/>
      <c r="D10" s="9"/>
      <c r="E10" s="9" t="s">
        <v>8</v>
      </c>
      <c r="F10" s="9"/>
    </row>
    <row r="11" customFormat="false" ht="12.75" hidden="false" customHeight="false" outlineLevel="0" collapsed="false">
      <c r="A11" s="10" t="s">
        <v>23</v>
      </c>
      <c r="B11" s="11" t="s">
        <v>24</v>
      </c>
      <c r="C11" s="12" t="s">
        <v>25</v>
      </c>
      <c r="D11" s="12" t="s">
        <v>26</v>
      </c>
      <c r="E11" s="13" t="n">
        <v>1</v>
      </c>
      <c r="F11" s="14" t="s">
        <v>27</v>
      </c>
      <c r="G11" s="15" t="n">
        <v>43696</v>
      </c>
      <c r="H11" s="14" t="s">
        <v>28</v>
      </c>
      <c r="I11" s="15" t="n">
        <v>43847</v>
      </c>
      <c r="J11" s="10" t="s">
        <v>29</v>
      </c>
      <c r="K11" s="10" t="s">
        <v>30</v>
      </c>
      <c r="L11" s="10" t="s">
        <v>31</v>
      </c>
      <c r="M11" s="1" t="n">
        <v>1</v>
      </c>
      <c r="N11" s="11" t="s">
        <v>32</v>
      </c>
      <c r="O11" s="2" t="n">
        <v>0</v>
      </c>
      <c r="P11" s="12" t="s">
        <v>33</v>
      </c>
      <c r="Q11" s="11" t="s">
        <v>34</v>
      </c>
      <c r="R11" s="10" t="s">
        <v>35</v>
      </c>
      <c r="S11" s="1" t="n">
        <v>1</v>
      </c>
      <c r="T11" s="10" t="s">
        <v>36</v>
      </c>
      <c r="U11" s="1" t="n">
        <v>1</v>
      </c>
      <c r="V11" s="10" t="s">
        <v>37</v>
      </c>
      <c r="W11" s="1" t="n">
        <v>1</v>
      </c>
      <c r="X11" s="10" t="s">
        <v>38</v>
      </c>
      <c r="Y11" s="1" t="n">
        <v>1</v>
      </c>
      <c r="Z11" s="10" t="s">
        <v>39</v>
      </c>
      <c r="AA11" s="1" t="n">
        <v>0</v>
      </c>
      <c r="AB11" s="10" t="s">
        <v>40</v>
      </c>
      <c r="AC11" s="1" t="n">
        <v>0</v>
      </c>
      <c r="AD11" s="10" t="s">
        <v>41</v>
      </c>
      <c r="AE11" s="1" t="n">
        <v>1</v>
      </c>
    </row>
    <row r="12" customFormat="false" ht="12.75" hidden="false" customHeight="false" outlineLevel="0" collapsed="false">
      <c r="A12" s="10" t="s">
        <v>42</v>
      </c>
      <c r="B12" s="10" t="s">
        <v>43</v>
      </c>
      <c r="C12" s="1" t="n">
        <v>1</v>
      </c>
      <c r="D12" s="10" t="s">
        <v>44</v>
      </c>
      <c r="E12" s="1" t="n">
        <v>1</v>
      </c>
      <c r="F12" s="10" t="s">
        <v>45</v>
      </c>
      <c r="G12" s="1" t="n">
        <v>0</v>
      </c>
      <c r="H12" s="10" t="s">
        <v>46</v>
      </c>
      <c r="I12" s="1" t="n">
        <v>1</v>
      </c>
      <c r="J12" s="10" t="s">
        <v>47</v>
      </c>
      <c r="K12" s="1" t="n">
        <v>0.7</v>
      </c>
      <c r="L12" s="10" t="s">
        <v>48</v>
      </c>
      <c r="M12" s="1" t="n">
        <v>2</v>
      </c>
      <c r="N12" s="10" t="s">
        <v>49</v>
      </c>
      <c r="O12" s="1" t="n">
        <v>1</v>
      </c>
      <c r="P12" s="10" t="s">
        <v>50</v>
      </c>
      <c r="Q12" s="1" t="n">
        <v>1</v>
      </c>
      <c r="R12" s="10" t="s">
        <v>51</v>
      </c>
      <c r="S12" s="1" t="n">
        <v>7</v>
      </c>
      <c r="T12" s="10" t="s">
        <v>52</v>
      </c>
      <c r="U12" s="1" t="n">
        <v>0</v>
      </c>
      <c r="V12" s="10" t="s">
        <v>53</v>
      </c>
      <c r="W12" s="1" t="n">
        <v>100</v>
      </c>
      <c r="X12" s="10" t="s">
        <v>54</v>
      </c>
      <c r="Y12" s="1" t="n">
        <v>0</v>
      </c>
      <c r="Z12" s="10" t="s">
        <v>55</v>
      </c>
      <c r="AA12" s="1" t="n">
        <v>1</v>
      </c>
      <c r="AB12" s="10" t="s">
        <v>56</v>
      </c>
      <c r="AC12" s="1" t="n">
        <v>1</v>
      </c>
      <c r="AD12" s="10" t="s">
        <v>57</v>
      </c>
      <c r="AE12" s="1" t="n">
        <v>1</v>
      </c>
      <c r="AF12" s="10" t="s">
        <v>58</v>
      </c>
      <c r="AG12" s="1" t="n">
        <v>0</v>
      </c>
      <c r="AH12" s="10" t="s">
        <v>59</v>
      </c>
      <c r="AI12" s="1" t="n">
        <v>9</v>
      </c>
    </row>
    <row r="13" customFormat="false" ht="12.75" hidden="false" customHeight="false" outlineLevel="0" collapsed="false">
      <c r="A13" s="5" t="s">
        <v>60</v>
      </c>
      <c r="B13" s="11" t="s">
        <v>61</v>
      </c>
      <c r="C13" s="2" t="n">
        <v>1</v>
      </c>
      <c r="D13" s="11" t="s">
        <v>62</v>
      </c>
      <c r="E13" s="12" t="s">
        <v>63</v>
      </c>
      <c r="F13" s="12" t="s">
        <v>64</v>
      </c>
      <c r="G13" s="14" t="s">
        <v>65</v>
      </c>
      <c r="H13" s="14" t="s">
        <v>66</v>
      </c>
      <c r="I13" s="10" t="s">
        <v>65</v>
      </c>
    </row>
    <row r="14" customFormat="false" ht="12.75" hidden="false" customHeight="false" outlineLevel="0" collapsed="false">
      <c r="A14" s="5" t="s">
        <v>67</v>
      </c>
      <c r="B14" s="13" t="s">
        <v>68</v>
      </c>
      <c r="C14" s="16" t="s">
        <v>69</v>
      </c>
      <c r="D14" s="13" t="s">
        <v>70</v>
      </c>
      <c r="E14" s="13" t="s">
        <v>71</v>
      </c>
      <c r="F14" s="13" t="s">
        <v>72</v>
      </c>
      <c r="G14" s="16" t="s">
        <v>73</v>
      </c>
      <c r="H14" s="13" t="s">
        <v>74</v>
      </c>
      <c r="I14" s="13" t="n">
        <f aca="false">FALSE()</f>
        <v>0</v>
      </c>
      <c r="J14" s="13" t="s">
        <v>75</v>
      </c>
      <c r="K14" s="16" t="s">
        <v>76</v>
      </c>
      <c r="L14" s="13" t="s">
        <v>77</v>
      </c>
      <c r="M14" s="13" t="s">
        <v>78</v>
      </c>
      <c r="N14" s="13" t="s">
        <v>79</v>
      </c>
      <c r="O14" s="16" t="s">
        <v>73</v>
      </c>
      <c r="P14" s="13" t="s">
        <v>80</v>
      </c>
      <c r="Q14" s="13" t="n">
        <f aca="false">FALSE()</f>
        <v>0</v>
      </c>
      <c r="R14" s="13" t="s">
        <v>81</v>
      </c>
      <c r="S14" s="16" t="s">
        <v>82</v>
      </c>
      <c r="T14" s="13" t="s">
        <v>83</v>
      </c>
      <c r="U14" s="13" t="s">
        <v>84</v>
      </c>
      <c r="V14" s="13" t="s">
        <v>85</v>
      </c>
      <c r="W14" s="16" t="s">
        <v>73</v>
      </c>
      <c r="X14" s="13" t="s">
        <v>86</v>
      </c>
      <c r="Y14" s="13" t="n">
        <f aca="false">TRUE()</f>
        <v>1</v>
      </c>
      <c r="Z14" s="13" t="s">
        <v>87</v>
      </c>
      <c r="AA14" s="13" t="s">
        <v>88</v>
      </c>
      <c r="AB14" s="13" t="s">
        <v>89</v>
      </c>
      <c r="AC14" s="13" t="s">
        <v>90</v>
      </c>
      <c r="AD14" s="13" t="s">
        <v>91</v>
      </c>
      <c r="AE14" s="13" t="s">
        <v>92</v>
      </c>
      <c r="AF14" s="13" t="s">
        <v>93</v>
      </c>
      <c r="AG14" s="13" t="n">
        <f aca="false">TRUE()</f>
        <v>1</v>
      </c>
      <c r="AH14" s="13" t="s">
        <v>94</v>
      </c>
      <c r="AI14" s="13" t="s">
        <v>95</v>
      </c>
      <c r="AJ14" s="13" t="s">
        <v>96</v>
      </c>
      <c r="AK14" s="13" t="s">
        <v>97</v>
      </c>
      <c r="AL14" s="13" t="s">
        <v>98</v>
      </c>
      <c r="AM14" s="13" t="s">
        <v>99</v>
      </c>
      <c r="AN14" s="13" t="s">
        <v>100</v>
      </c>
      <c r="AO14" s="13" t="n">
        <f aca="false">FALSE()</f>
        <v>0</v>
      </c>
      <c r="AP14" s="13" t="s">
        <v>101</v>
      </c>
      <c r="AQ14" s="16" t="s">
        <v>102</v>
      </c>
      <c r="AR14" s="13" t="s">
        <v>103</v>
      </c>
      <c r="AS14" s="13" t="s">
        <v>104</v>
      </c>
      <c r="AT14" s="13" t="s">
        <v>105</v>
      </c>
      <c r="AU14" s="13" t="s">
        <v>106</v>
      </c>
      <c r="AV14" s="13" t="s">
        <v>107</v>
      </c>
      <c r="AW14" s="13" t="n">
        <f aca="false">TRUE()</f>
        <v>1</v>
      </c>
      <c r="AX14" s="10" t="s">
        <v>108</v>
      </c>
      <c r="AZ14" s="10" t="s">
        <v>109</v>
      </c>
      <c r="BB14" s="10" t="s">
        <v>110</v>
      </c>
      <c r="BD14" s="10" t="s">
        <v>111</v>
      </c>
      <c r="BF14" s="10" t="s">
        <v>112</v>
      </c>
      <c r="BH14" s="10" t="s">
        <v>113</v>
      </c>
      <c r="BJ14" s="10" t="s">
        <v>114</v>
      </c>
      <c r="BL14" s="10" t="s">
        <v>115</v>
      </c>
    </row>
    <row r="15" customFormat="false" ht="12.75" hidden="false" customHeight="false" outlineLevel="0" collapsed="false">
      <c r="A15" s="5" t="s">
        <v>116</v>
      </c>
      <c r="B15" s="10" t="s">
        <v>117</v>
      </c>
      <c r="C15" s="1" t="n">
        <v>1</v>
      </c>
      <c r="D15" s="10" t="s">
        <v>118</v>
      </c>
      <c r="E15" s="1" t="n">
        <v>82</v>
      </c>
      <c r="F15" s="10" t="s">
        <v>119</v>
      </c>
      <c r="G15" s="10" t="s">
        <v>120</v>
      </c>
      <c r="H15" s="10" t="s">
        <v>121</v>
      </c>
      <c r="I15" s="1" t="n">
        <v>82</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tabColor rgb="FFFFFFFF"/>
    <pageSetUpPr fitToPage="false"/>
  </sheetPr>
  <dimension ref="A1:L34"/>
  <sheetViews>
    <sheetView showFormulas="false" showGridLines="false" showRowColHeaders="true" showZeros="true" rightToLeft="false" tabSelected="false" showOutlineSymbols="true" defaultGridColor="true" view="normal" topLeftCell="A7" colorId="64" zoomScale="90" zoomScaleNormal="90" zoomScalePageLayoutView="100" workbookViewId="0">
      <selection pane="topLeft" activeCell="P17" activeCellId="0" sqref="P17"/>
    </sheetView>
  </sheetViews>
  <sheetFormatPr defaultRowHeight="17.25" zeroHeight="false" outlineLevelRow="0" outlineLevelCol="0"/>
  <cols>
    <col collapsed="false" customWidth="true" hidden="false" outlineLevel="0" max="1" min="1" style="17" width="5.87"/>
    <col collapsed="false" customWidth="true" hidden="false" outlineLevel="0" max="2" min="2" style="18" width="29.87"/>
    <col collapsed="false" customWidth="true" hidden="false" outlineLevel="0" max="3" min="3" style="17" width="1.25"/>
    <col collapsed="false" customWidth="true" hidden="false" outlineLevel="0" max="11" min="4" style="17" width="9"/>
    <col collapsed="false" customWidth="true" hidden="false" outlineLevel="0" max="12" min="12" style="17" width="19.5"/>
    <col collapsed="false" customWidth="true" hidden="false" outlineLevel="0" max="1025" min="13" style="17" width="9"/>
  </cols>
  <sheetData>
    <row r="1" customFormat="false" ht="20.25" hidden="false" customHeight="true" outlineLevel="0" collapsed="false">
      <c r="A1" s="19" t="s">
        <v>122</v>
      </c>
      <c r="B1" s="19"/>
      <c r="C1" s="19"/>
      <c r="D1" s="19"/>
      <c r="E1" s="19"/>
      <c r="F1" s="19"/>
      <c r="G1" s="19"/>
      <c r="H1" s="19"/>
      <c r="I1" s="20"/>
      <c r="J1" s="21" t="s">
        <v>123</v>
      </c>
      <c r="K1" s="21"/>
      <c r="L1" s="21"/>
    </row>
    <row r="2" s="23" customFormat="true" ht="33.75" hidden="false" customHeight="true" outlineLevel="0" collapsed="false">
      <c r="A2" s="19"/>
      <c r="B2" s="19"/>
      <c r="C2" s="19"/>
      <c r="D2" s="19"/>
      <c r="E2" s="19"/>
      <c r="F2" s="19"/>
      <c r="G2" s="19"/>
      <c r="H2" s="19"/>
      <c r="I2" s="22" t="s">
        <v>124</v>
      </c>
      <c r="J2" s="22"/>
      <c r="K2" s="22"/>
      <c r="L2" s="22"/>
    </row>
    <row r="4" customFormat="false" ht="17.25" hidden="false" customHeight="true" outlineLevel="0" collapsed="false">
      <c r="B4" s="24" t="s">
        <v>125</v>
      </c>
      <c r="C4" s="24"/>
      <c r="D4" s="24"/>
      <c r="E4" s="24"/>
      <c r="F4" s="24"/>
      <c r="G4" s="24"/>
      <c r="H4" s="24"/>
      <c r="I4" s="24"/>
      <c r="J4" s="24"/>
      <c r="K4" s="24"/>
      <c r="L4" s="24"/>
    </row>
    <row r="5" customFormat="false" ht="27.75" hidden="false" customHeight="true" outlineLevel="0" collapsed="false">
      <c r="B5" s="24"/>
      <c r="C5" s="24"/>
      <c r="D5" s="24"/>
      <c r="E5" s="24"/>
      <c r="F5" s="24"/>
      <c r="G5" s="24"/>
      <c r="H5" s="24"/>
      <c r="I5" s="24"/>
      <c r="J5" s="24"/>
      <c r="K5" s="24"/>
      <c r="L5" s="24"/>
    </row>
    <row r="6" s="23" customFormat="true" ht="13.5" hidden="false" customHeight="false" outlineLevel="0" collapsed="false">
      <c r="B6" s="25"/>
    </row>
    <row r="7" s="23" customFormat="true" ht="20.25" hidden="false" customHeight="false" outlineLevel="0" collapsed="false">
      <c r="B7" s="26" t="s">
        <v>126</v>
      </c>
      <c r="D7" s="27"/>
    </row>
    <row r="8" s="23" customFormat="true" ht="7.5" hidden="false" customHeight="true" outlineLevel="0" collapsed="false">
      <c r="B8" s="25"/>
    </row>
    <row r="9" s="23" customFormat="true" ht="27.75" hidden="false" customHeight="true" outlineLevel="0" collapsed="false">
      <c r="A9" s="28"/>
      <c r="B9" s="29" t="s">
        <v>127</v>
      </c>
      <c r="C9" s="28"/>
      <c r="D9" s="30" t="s">
        <v>128</v>
      </c>
      <c r="E9" s="30"/>
      <c r="F9" s="30"/>
      <c r="G9" s="30"/>
      <c r="H9" s="30"/>
      <c r="I9" s="30"/>
      <c r="J9" s="30"/>
      <c r="K9" s="30"/>
      <c r="L9" s="30"/>
    </row>
    <row r="10" s="23" customFormat="true" ht="27.75" hidden="false" customHeight="true" outlineLevel="0" collapsed="false">
      <c r="A10" s="28"/>
      <c r="B10" s="31" t="s">
        <v>129</v>
      </c>
      <c r="C10" s="28"/>
      <c r="D10" s="30" t="s">
        <v>130</v>
      </c>
      <c r="E10" s="30"/>
      <c r="F10" s="30"/>
      <c r="G10" s="30"/>
      <c r="H10" s="30"/>
      <c r="I10" s="30"/>
      <c r="J10" s="30"/>
      <c r="K10" s="30"/>
      <c r="L10" s="30"/>
    </row>
    <row r="11" s="23" customFormat="true" ht="27.75" hidden="false" customHeight="true" outlineLevel="0" collapsed="false">
      <c r="A11" s="28"/>
      <c r="B11" s="32" t="s">
        <v>131</v>
      </c>
      <c r="C11" s="28"/>
      <c r="D11" s="30" t="s">
        <v>132</v>
      </c>
      <c r="E11" s="30"/>
      <c r="F11" s="30"/>
      <c r="G11" s="30"/>
      <c r="H11" s="30"/>
      <c r="I11" s="30"/>
      <c r="J11" s="30"/>
      <c r="K11" s="30"/>
      <c r="L11" s="30"/>
    </row>
    <row r="12" s="23" customFormat="true" ht="27.75" hidden="false" customHeight="true" outlineLevel="0" collapsed="false">
      <c r="A12" s="28"/>
      <c r="B12" s="33" t="s">
        <v>133</v>
      </c>
      <c r="C12" s="28"/>
      <c r="D12" s="30" t="s">
        <v>134</v>
      </c>
      <c r="E12" s="30"/>
      <c r="F12" s="30"/>
      <c r="G12" s="30"/>
      <c r="H12" s="30"/>
      <c r="I12" s="30"/>
      <c r="J12" s="30"/>
      <c r="K12" s="30"/>
      <c r="L12" s="30"/>
    </row>
    <row r="13" s="23" customFormat="true" ht="27.75" hidden="false" customHeight="true" outlineLevel="0" collapsed="false">
      <c r="A13" s="28"/>
      <c r="B13" s="34" t="s">
        <v>135</v>
      </c>
      <c r="C13" s="28"/>
      <c r="D13" s="30" t="s">
        <v>136</v>
      </c>
      <c r="E13" s="30"/>
      <c r="F13" s="30"/>
      <c r="G13" s="30"/>
      <c r="H13" s="30"/>
      <c r="I13" s="30"/>
      <c r="J13" s="30"/>
      <c r="K13" s="30"/>
      <c r="L13" s="30"/>
    </row>
    <row r="14" s="23" customFormat="true" ht="27.75" hidden="false" customHeight="true" outlineLevel="0" collapsed="false">
      <c r="A14" s="28"/>
      <c r="B14" s="34" t="s">
        <v>137</v>
      </c>
      <c r="C14" s="28"/>
      <c r="D14" s="35" t="s">
        <v>138</v>
      </c>
      <c r="E14" s="35"/>
      <c r="F14" s="35"/>
      <c r="G14" s="35"/>
      <c r="H14" s="35"/>
      <c r="I14" s="35"/>
      <c r="J14" s="35"/>
      <c r="K14" s="35"/>
      <c r="L14" s="35"/>
    </row>
    <row r="15" s="23" customFormat="true" ht="27.75" hidden="false" customHeight="true" outlineLevel="0" collapsed="false">
      <c r="A15" s="28"/>
      <c r="B15" s="36" t="s">
        <v>139</v>
      </c>
      <c r="C15" s="28"/>
      <c r="D15" s="30" t="s">
        <v>140</v>
      </c>
      <c r="E15" s="30"/>
      <c r="F15" s="30"/>
      <c r="G15" s="30"/>
      <c r="H15" s="30"/>
      <c r="I15" s="30"/>
      <c r="J15" s="30"/>
      <c r="K15" s="30"/>
      <c r="L15" s="30"/>
    </row>
    <row r="16" customFormat="false" ht="18" hidden="false" customHeight="false" outlineLevel="0" collapsed="false">
      <c r="A16" s="37"/>
      <c r="B16" s="38"/>
      <c r="C16" s="37"/>
      <c r="D16" s="39"/>
      <c r="E16" s="39"/>
      <c r="F16" s="39"/>
      <c r="G16" s="39"/>
      <c r="H16" s="39"/>
      <c r="I16" s="39"/>
      <c r="J16" s="39"/>
      <c r="K16" s="39"/>
      <c r="L16" s="39"/>
    </row>
    <row r="17" s="23" customFormat="true" ht="20.25" hidden="false" customHeight="false" outlineLevel="0" collapsed="false">
      <c r="B17" s="26" t="s">
        <v>141</v>
      </c>
      <c r="D17" s="27"/>
    </row>
    <row r="18" s="23" customFormat="true" ht="5.25" hidden="false" customHeight="true" outlineLevel="0" collapsed="false">
      <c r="B18" s="40"/>
      <c r="D18" s="27"/>
    </row>
    <row r="19" s="23" customFormat="true" ht="24.75" hidden="false" customHeight="true" outlineLevel="0" collapsed="false">
      <c r="B19" s="41" t="s">
        <v>142</v>
      </c>
      <c r="D19" s="42" t="s">
        <v>143</v>
      </c>
      <c r="E19" s="42"/>
      <c r="F19" s="42"/>
      <c r="G19" s="42"/>
      <c r="H19" s="42"/>
      <c r="I19" s="42"/>
      <c r="J19" s="42"/>
      <c r="K19" s="42"/>
      <c r="L19" s="43" t="s">
        <v>144</v>
      </c>
    </row>
    <row r="20" s="23" customFormat="true" ht="41.25" hidden="false" customHeight="true" outlineLevel="0" collapsed="false">
      <c r="B20" s="41" t="s">
        <v>145</v>
      </c>
      <c r="D20" s="42" t="s">
        <v>146</v>
      </c>
      <c r="E20" s="42"/>
      <c r="F20" s="42"/>
      <c r="G20" s="42"/>
      <c r="H20" s="42"/>
      <c r="I20" s="42"/>
      <c r="J20" s="42"/>
      <c r="K20" s="42"/>
      <c r="L20" s="44" t="s">
        <v>144</v>
      </c>
    </row>
    <row r="21" s="23" customFormat="true" ht="37.5" hidden="false" customHeight="true" outlineLevel="0" collapsed="false">
      <c r="B21" s="41" t="s">
        <v>147</v>
      </c>
      <c r="D21" s="42" t="s">
        <v>148</v>
      </c>
      <c r="E21" s="42"/>
      <c r="F21" s="42"/>
      <c r="G21" s="42"/>
      <c r="H21" s="42"/>
      <c r="I21" s="42"/>
      <c r="J21" s="42"/>
      <c r="K21" s="42"/>
      <c r="L21" s="44" t="s">
        <v>144</v>
      </c>
    </row>
    <row r="22" s="23" customFormat="true" ht="41.25" hidden="false" customHeight="true" outlineLevel="0" collapsed="false">
      <c r="B22" s="41" t="s">
        <v>149</v>
      </c>
      <c r="D22" s="42" t="s">
        <v>150</v>
      </c>
      <c r="E22" s="42"/>
      <c r="F22" s="42"/>
      <c r="G22" s="42"/>
      <c r="H22" s="42"/>
      <c r="I22" s="42"/>
      <c r="J22" s="42"/>
      <c r="K22" s="42"/>
      <c r="L22" s="44" t="s">
        <v>144</v>
      </c>
    </row>
    <row r="23" s="23" customFormat="true" ht="36" hidden="false" customHeight="true" outlineLevel="0" collapsed="false">
      <c r="B23" s="41" t="s">
        <v>151</v>
      </c>
      <c r="D23" s="42" t="s">
        <v>152</v>
      </c>
      <c r="E23" s="42"/>
      <c r="F23" s="42"/>
      <c r="G23" s="42"/>
      <c r="H23" s="42"/>
      <c r="I23" s="42"/>
      <c r="J23" s="42"/>
      <c r="K23" s="42"/>
      <c r="L23" s="44" t="s">
        <v>144</v>
      </c>
    </row>
    <row r="24" s="23" customFormat="true" ht="52.5" hidden="false" customHeight="true" outlineLevel="0" collapsed="false">
      <c r="B24" s="41" t="s">
        <v>153</v>
      </c>
      <c r="D24" s="42" t="s">
        <v>154</v>
      </c>
      <c r="E24" s="42"/>
      <c r="F24" s="42"/>
      <c r="G24" s="42"/>
      <c r="H24" s="42"/>
      <c r="I24" s="42"/>
      <c r="J24" s="42"/>
      <c r="K24" s="42"/>
      <c r="L24" s="44" t="s">
        <v>144</v>
      </c>
    </row>
    <row r="25" s="23" customFormat="true" ht="57" hidden="false" customHeight="true" outlineLevel="0" collapsed="false">
      <c r="B25" s="41" t="s">
        <v>155</v>
      </c>
      <c r="D25" s="42" t="s">
        <v>156</v>
      </c>
      <c r="E25" s="42"/>
      <c r="F25" s="42"/>
      <c r="G25" s="42"/>
      <c r="H25" s="42"/>
      <c r="I25" s="42"/>
      <c r="J25" s="42"/>
      <c r="K25" s="42"/>
      <c r="L25" s="44" t="s">
        <v>144</v>
      </c>
    </row>
    <row r="26" s="23" customFormat="true" ht="48.75" hidden="false" customHeight="true" outlineLevel="0" collapsed="false">
      <c r="B26" s="41" t="s">
        <v>157</v>
      </c>
      <c r="D26" s="42" t="s">
        <v>158</v>
      </c>
      <c r="E26" s="42"/>
      <c r="F26" s="42"/>
      <c r="G26" s="42"/>
      <c r="H26" s="42"/>
      <c r="I26" s="42"/>
      <c r="J26" s="42"/>
      <c r="K26" s="42"/>
      <c r="L26" s="44" t="s">
        <v>144</v>
      </c>
    </row>
    <row r="27" s="23" customFormat="true" ht="43.5" hidden="false" customHeight="true" outlineLevel="0" collapsed="false">
      <c r="B27" s="41" t="s">
        <v>159</v>
      </c>
      <c r="D27" s="42" t="s">
        <v>160</v>
      </c>
      <c r="E27" s="42"/>
      <c r="F27" s="42"/>
      <c r="G27" s="42"/>
      <c r="H27" s="42"/>
      <c r="I27" s="42"/>
      <c r="J27" s="42"/>
      <c r="K27" s="42"/>
      <c r="L27" s="44" t="s">
        <v>144</v>
      </c>
    </row>
    <row r="28" s="23" customFormat="true" ht="43.5" hidden="false" customHeight="true" outlineLevel="0" collapsed="false">
      <c r="B28" s="41" t="s">
        <v>161</v>
      </c>
      <c r="D28" s="42" t="s">
        <v>162</v>
      </c>
      <c r="E28" s="42"/>
      <c r="F28" s="42"/>
      <c r="G28" s="42"/>
      <c r="H28" s="42"/>
      <c r="I28" s="42"/>
      <c r="J28" s="42"/>
      <c r="K28" s="42"/>
      <c r="L28" s="44" t="s">
        <v>144</v>
      </c>
    </row>
    <row r="29" s="23" customFormat="true" ht="50.25" hidden="false" customHeight="true" outlineLevel="0" collapsed="false">
      <c r="B29" s="41" t="s">
        <v>163</v>
      </c>
      <c r="D29" s="42" t="s">
        <v>164</v>
      </c>
      <c r="E29" s="42"/>
      <c r="F29" s="42"/>
      <c r="G29" s="42"/>
      <c r="H29" s="42"/>
      <c r="I29" s="42"/>
      <c r="J29" s="42"/>
      <c r="K29" s="42"/>
      <c r="L29" s="44" t="s">
        <v>144</v>
      </c>
    </row>
    <row r="30" s="23" customFormat="true" ht="57.75" hidden="false" customHeight="true" outlineLevel="0" collapsed="false">
      <c r="B30" s="41" t="s">
        <v>165</v>
      </c>
      <c r="D30" s="42" t="s">
        <v>166</v>
      </c>
      <c r="E30" s="42"/>
      <c r="F30" s="42"/>
      <c r="G30" s="42"/>
      <c r="H30" s="42"/>
      <c r="I30" s="42"/>
      <c r="J30" s="42"/>
      <c r="K30" s="42"/>
      <c r="L30" s="44" t="s">
        <v>144</v>
      </c>
    </row>
    <row r="31" s="23" customFormat="true" ht="67.5" hidden="false" customHeight="true" outlineLevel="0" collapsed="false">
      <c r="B31" s="41" t="s">
        <v>167</v>
      </c>
      <c r="D31" s="42" t="s">
        <v>168</v>
      </c>
      <c r="E31" s="42"/>
      <c r="F31" s="42"/>
      <c r="G31" s="42"/>
      <c r="H31" s="42"/>
      <c r="I31" s="42"/>
      <c r="J31" s="42"/>
      <c r="K31" s="42"/>
      <c r="L31" s="44" t="s">
        <v>144</v>
      </c>
    </row>
    <row r="32" s="23" customFormat="true" ht="17.25" hidden="false" customHeight="false" outlineLevel="0" collapsed="false">
      <c r="B32" s="45"/>
      <c r="D32" s="27"/>
      <c r="L32" s="28"/>
    </row>
    <row r="33" s="23" customFormat="true" ht="18.75" hidden="false" customHeight="true" outlineLevel="0" collapsed="false">
      <c r="B33" s="46" t="s">
        <v>169</v>
      </c>
      <c r="C33" s="47"/>
      <c r="D33" s="48"/>
      <c r="E33" s="47"/>
      <c r="F33" s="47"/>
      <c r="G33" s="47"/>
      <c r="H33" s="47"/>
      <c r="I33" s="47"/>
      <c r="J33" s="47"/>
      <c r="K33" s="47"/>
      <c r="L33" s="49"/>
    </row>
    <row r="34" s="23" customFormat="true" ht="59.25" hidden="false" customHeight="true" outlineLevel="0" collapsed="false">
      <c r="B34" s="50" t="s">
        <v>170</v>
      </c>
      <c r="C34" s="50"/>
      <c r="D34" s="50"/>
      <c r="E34" s="50"/>
      <c r="F34" s="50"/>
      <c r="G34" s="50"/>
      <c r="H34" s="50"/>
      <c r="I34" s="50"/>
      <c r="J34" s="50"/>
      <c r="K34" s="50"/>
      <c r="L34" s="50"/>
    </row>
  </sheetData>
  <mergeCells count="25">
    <mergeCell ref="A1:H2"/>
    <mergeCell ref="J1:L1"/>
    <mergeCell ref="I2:L2"/>
    <mergeCell ref="B4:L5"/>
    <mergeCell ref="D9:L9"/>
    <mergeCell ref="D10:L10"/>
    <mergeCell ref="D11:L11"/>
    <mergeCell ref="D12:L12"/>
    <mergeCell ref="D13:L13"/>
    <mergeCell ref="D14:L14"/>
    <mergeCell ref="D15:L15"/>
    <mergeCell ref="D19:K19"/>
    <mergeCell ref="D20:K20"/>
    <mergeCell ref="D21:K21"/>
    <mergeCell ref="D22:K22"/>
    <mergeCell ref="D23:K23"/>
    <mergeCell ref="D24:K24"/>
    <mergeCell ref="D25:K25"/>
    <mergeCell ref="D26:K26"/>
    <mergeCell ref="D27:K27"/>
    <mergeCell ref="D28:K28"/>
    <mergeCell ref="D29:K29"/>
    <mergeCell ref="D30:K30"/>
    <mergeCell ref="D31:K31"/>
    <mergeCell ref="B34:L34"/>
  </mergeCells>
  <hyperlinks>
    <hyperlink ref="J1" r:id="rId1" display="XLGantt 3.0.0 ⓒXLWorks "/>
    <hyperlink ref="I2" r:id="rId2" display="도움말, 최신 버전 다운로드 https://xlworks.net "/>
    <hyperlink ref="B9" location="Schedule!A1" display="Schedule"/>
    <hyperlink ref="B10" location="Progress!A1" display="Progress"/>
    <hyperlink ref="B11" location="AnalysisReport!A1" display="AnalysisReport"/>
    <hyperlink ref="B12" location="Calendar!A1" display="Calendar"/>
    <hyperlink ref="B13" location="Workload!A1" display="Workload"/>
    <hyperlink ref="B14" location="ServerData!A1" display="ServerData"/>
    <hyperlink ref="L19" r:id="rId3" display="도움말"/>
    <hyperlink ref="L20" r:id="rId4" display="도움말"/>
    <hyperlink ref="L21" r:id="rId5" display="도움말"/>
    <hyperlink ref="L22" r:id="rId6" display="도움말"/>
    <hyperlink ref="L23" r:id="rId7" display="도움말"/>
    <hyperlink ref="L24" r:id="rId8" display="도움말"/>
    <hyperlink ref="L25" r:id="rId9" display="도움말"/>
    <hyperlink ref="L26" r:id="rId10" display="도움말"/>
    <hyperlink ref="L27" r:id="rId11" display="도움말"/>
    <hyperlink ref="L28" r:id="rId12" display="도움말"/>
    <hyperlink ref="L29" r:id="rId13" display="도움말"/>
    <hyperlink ref="L30" r:id="rId14" display="도움말"/>
    <hyperlink ref="L31" r:id="rId15" display="도움말"/>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tabColor rgb="FF00A44A"/>
    <pageSetUpPr fitToPage="true"/>
  </sheetPr>
  <dimension ref="A1:GC57"/>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BI20" activeCellId="0" sqref="BI20"/>
    </sheetView>
  </sheetViews>
  <sheetFormatPr defaultRowHeight="12" zeroHeight="false" outlineLevelRow="5" outlineLevelCol="0"/>
  <cols>
    <col collapsed="false" customWidth="true" hidden="true" outlineLevel="0" max="2" min="1" style="51" width="9"/>
    <col collapsed="false" customWidth="true" hidden="true" outlineLevel="0" max="3" min="3" style="51" width="8.37"/>
    <col collapsed="false" customWidth="true" hidden="false" outlineLevel="0" max="4" min="4" style="52" width="12.75"/>
    <col collapsed="false" customWidth="true" hidden="false" outlineLevel="0" max="13" min="5" style="53" width="2.75"/>
    <col collapsed="false" customWidth="true" hidden="false" outlineLevel="0" max="14" min="14" style="53" width="4.51"/>
    <col collapsed="false" customWidth="true" hidden="false" outlineLevel="0" max="15" min="15" style="53" width="5.25"/>
    <col collapsed="false" customWidth="true" hidden="false" outlineLevel="0" max="17" min="16" style="54" width="8.51"/>
    <col collapsed="false" customWidth="true" hidden="false" outlineLevel="0" max="18" min="18" style="53" width="7.63"/>
    <col collapsed="false" customWidth="true" hidden="false" outlineLevel="0" max="19" min="19" style="55" width="6"/>
    <col collapsed="false" customWidth="true" hidden="false" outlineLevel="0" max="20" min="20" style="55" width="4.51"/>
    <col collapsed="false" customWidth="true" hidden="false" outlineLevel="0" max="22" min="21" style="56" width="4.51"/>
    <col collapsed="false" customWidth="true" hidden="true" outlineLevel="0" max="24" min="23" style="54" width="8.51"/>
    <col collapsed="false" customWidth="true" hidden="true" outlineLevel="0" max="25" min="25" style="57" width="7.5"/>
    <col collapsed="false" customWidth="true" hidden="true" outlineLevel="0" max="26" min="26" style="58" width="6"/>
    <col collapsed="false" customWidth="true" hidden="false" outlineLevel="0" max="27" min="27" style="59" width="6"/>
    <col collapsed="false" customWidth="true" hidden="false" outlineLevel="0" max="28" min="28" style="53" width="11"/>
    <col collapsed="false" customWidth="true" hidden="false" outlineLevel="0" max="29" min="29" style="60" width="6"/>
    <col collapsed="false" customWidth="true" hidden="false" outlineLevel="0" max="30" min="30" style="61" width="6.75"/>
    <col collapsed="false" customWidth="true" hidden="false" outlineLevel="0" max="31" min="31" style="62" width="7.24"/>
    <col collapsed="false" customWidth="true" hidden="false" outlineLevel="0" max="185" min="32" style="63" width="1.87"/>
    <col collapsed="false" customWidth="true" hidden="false" outlineLevel="0" max="1025" min="186" style="63" width="10"/>
  </cols>
  <sheetData>
    <row r="1" s="81" customFormat="true" ht="20.1" hidden="false" customHeight="true" outlineLevel="0" collapsed="false">
      <c r="A1" s="64"/>
      <c r="B1" s="65"/>
      <c r="C1" s="66"/>
      <c r="D1" s="67" t="e">
        <f aca="false">xlgantt.projectname()</f>
        <v>#NAME?</v>
      </c>
      <c r="E1" s="68"/>
      <c r="F1" s="68"/>
      <c r="G1" s="68"/>
      <c r="H1" s="68"/>
      <c r="I1" s="68"/>
      <c r="J1" s="68"/>
      <c r="K1" s="68"/>
      <c r="L1" s="68"/>
      <c r="M1" s="68"/>
      <c r="N1" s="68"/>
      <c r="O1" s="68"/>
      <c r="P1" s="68"/>
      <c r="Q1" s="69"/>
      <c r="R1" s="70"/>
      <c r="S1" s="71"/>
      <c r="T1" s="72"/>
      <c r="U1" s="73"/>
      <c r="V1" s="73"/>
      <c r="W1" s="74"/>
      <c r="X1" s="74"/>
      <c r="Y1" s="65"/>
      <c r="Z1" s="75"/>
      <c r="AA1" s="76"/>
      <c r="AB1" s="77"/>
      <c r="AC1" s="77"/>
      <c r="AD1" s="78"/>
      <c r="AE1" s="79" t="e">
        <f aca="false">xlgantt.projectprogressstring()</f>
        <v>#NAME?</v>
      </c>
      <c r="AF1" s="80" t="s">
        <v>171</v>
      </c>
    </row>
    <row r="2" s="81" customFormat="true" ht="15" hidden="false" customHeight="true" outlineLevel="0" collapsed="false">
      <c r="A2" s="82"/>
      <c r="B2" s="82"/>
      <c r="C2" s="83"/>
      <c r="D2" s="84"/>
      <c r="E2" s="84"/>
      <c r="F2" s="84"/>
      <c r="G2" s="85"/>
      <c r="H2" s="86"/>
      <c r="I2" s="85"/>
      <c r="J2" s="85"/>
      <c r="K2" s="85"/>
      <c r="L2" s="85"/>
      <c r="M2" s="85"/>
      <c r="N2" s="85"/>
      <c r="O2" s="85"/>
      <c r="P2" s="85"/>
      <c r="Q2" s="85"/>
      <c r="R2" s="85"/>
      <c r="S2" s="85"/>
      <c r="T2" s="85"/>
      <c r="U2" s="85"/>
      <c r="V2" s="85"/>
      <c r="W2" s="85"/>
      <c r="X2" s="85"/>
      <c r="Y2" s="85"/>
      <c r="Z2" s="85"/>
      <c r="AA2" s="85"/>
      <c r="AB2" s="85"/>
      <c r="AC2" s="87"/>
      <c r="AD2" s="88"/>
      <c r="AE2" s="85" t="e">
        <f aca="false">xlgantt.commentonheadarea()</f>
        <v>#NAME?</v>
      </c>
      <c r="AF2" s="89" t="s">
        <v>172</v>
      </c>
    </row>
    <row r="3" s="110" customFormat="true" ht="18.95" hidden="false" customHeight="true" outlineLevel="0" collapsed="false">
      <c r="A3" s="90" t="s">
        <v>173</v>
      </c>
      <c r="B3" s="91" t="s">
        <v>174</v>
      </c>
      <c r="C3" s="92" t="s">
        <v>175</v>
      </c>
      <c r="D3" s="93" t="s">
        <v>176</v>
      </c>
      <c r="E3" s="94" t="s">
        <v>177</v>
      </c>
      <c r="F3" s="94"/>
      <c r="G3" s="94"/>
      <c r="H3" s="94"/>
      <c r="I3" s="94"/>
      <c r="J3" s="94"/>
      <c r="K3" s="94"/>
      <c r="L3" s="94"/>
      <c r="M3" s="94"/>
      <c r="N3" s="94"/>
      <c r="O3" s="95" t="s">
        <v>178</v>
      </c>
      <c r="P3" s="96" t="s">
        <v>179</v>
      </c>
      <c r="Q3" s="96" t="s">
        <v>180</v>
      </c>
      <c r="R3" s="91" t="s">
        <v>133</v>
      </c>
      <c r="S3" s="97" t="s">
        <v>181</v>
      </c>
      <c r="T3" s="98" t="s">
        <v>182</v>
      </c>
      <c r="U3" s="99" t="s">
        <v>183</v>
      </c>
      <c r="V3" s="99" t="s">
        <v>184</v>
      </c>
      <c r="W3" s="100" t="s">
        <v>185</v>
      </c>
      <c r="X3" s="100" t="s">
        <v>186</v>
      </c>
      <c r="Y3" s="101" t="s">
        <v>187</v>
      </c>
      <c r="Z3" s="102" t="s">
        <v>188</v>
      </c>
      <c r="AA3" s="103" t="s">
        <v>189</v>
      </c>
      <c r="AB3" s="96" t="s">
        <v>190</v>
      </c>
      <c r="AC3" s="104" t="s">
        <v>191</v>
      </c>
      <c r="AD3" s="105" t="s">
        <v>192</v>
      </c>
      <c r="AE3" s="106" t="s">
        <v>193</v>
      </c>
      <c r="AF3" s="107" t="s">
        <v>194</v>
      </c>
      <c r="AG3" s="107"/>
      <c r="AH3" s="107"/>
      <c r="AI3" s="107"/>
      <c r="AJ3" s="108" t="s">
        <v>195</v>
      </c>
      <c r="AK3" s="108"/>
      <c r="AL3" s="108"/>
      <c r="AM3" s="108"/>
      <c r="AN3" s="108" t="s">
        <v>196</v>
      </c>
      <c r="AO3" s="108"/>
      <c r="AP3" s="108"/>
      <c r="AQ3" s="108"/>
      <c r="AR3" s="108" t="s">
        <v>197</v>
      </c>
      <c r="AS3" s="108"/>
      <c r="AT3" s="108"/>
      <c r="AU3" s="108"/>
      <c r="AV3" s="108" t="s">
        <v>198</v>
      </c>
      <c r="AW3" s="108"/>
      <c r="AX3" s="108"/>
      <c r="AY3" s="108"/>
      <c r="AZ3" s="109" t="s">
        <v>199</v>
      </c>
      <c r="BA3" s="109"/>
      <c r="BB3" s="109"/>
      <c r="BC3" s="109"/>
    </row>
    <row r="4" s="116" customFormat="true" ht="6" hidden="false" customHeight="true" outlineLevel="0" collapsed="false">
      <c r="A4" s="90"/>
      <c r="B4" s="91"/>
      <c r="C4" s="92"/>
      <c r="D4" s="93"/>
      <c r="E4" s="94"/>
      <c r="F4" s="94"/>
      <c r="G4" s="94"/>
      <c r="H4" s="94"/>
      <c r="I4" s="94"/>
      <c r="J4" s="94"/>
      <c r="K4" s="94"/>
      <c r="L4" s="94"/>
      <c r="M4" s="94"/>
      <c r="N4" s="94"/>
      <c r="O4" s="95"/>
      <c r="P4" s="95"/>
      <c r="Q4" s="95"/>
      <c r="R4" s="91"/>
      <c r="S4" s="97"/>
      <c r="T4" s="98"/>
      <c r="U4" s="99"/>
      <c r="V4" s="99"/>
      <c r="W4" s="100"/>
      <c r="X4" s="100"/>
      <c r="Y4" s="101"/>
      <c r="Z4" s="102"/>
      <c r="AA4" s="103"/>
      <c r="AB4" s="96"/>
      <c r="AC4" s="104"/>
      <c r="AD4" s="105"/>
      <c r="AE4" s="106"/>
      <c r="AF4" s="111" t="n">
        <v>43695</v>
      </c>
      <c r="AG4" s="112" t="n">
        <v>43702</v>
      </c>
      <c r="AH4" s="112" t="n">
        <v>43709</v>
      </c>
      <c r="AI4" s="112" t="n">
        <v>43716</v>
      </c>
      <c r="AJ4" s="112" t="n">
        <v>43723</v>
      </c>
      <c r="AK4" s="112" t="n">
        <v>43730</v>
      </c>
      <c r="AL4" s="112" t="n">
        <v>43737</v>
      </c>
      <c r="AM4" s="112" t="n">
        <v>43744</v>
      </c>
      <c r="AN4" s="112" t="n">
        <v>43751</v>
      </c>
      <c r="AO4" s="112" t="n">
        <v>43758</v>
      </c>
      <c r="AP4" s="112" t="n">
        <v>43765</v>
      </c>
      <c r="AQ4" s="112" t="n">
        <v>43772</v>
      </c>
      <c r="AR4" s="112" t="n">
        <v>43779</v>
      </c>
      <c r="AS4" s="112" t="n">
        <v>43786</v>
      </c>
      <c r="AT4" s="112" t="n">
        <v>43793</v>
      </c>
      <c r="AU4" s="112" t="n">
        <v>43800</v>
      </c>
      <c r="AV4" s="112" t="n">
        <v>43807</v>
      </c>
      <c r="AW4" s="112" t="n">
        <v>43814</v>
      </c>
      <c r="AX4" s="112" t="n">
        <v>43821</v>
      </c>
      <c r="AY4" s="112" t="n">
        <v>43828</v>
      </c>
      <c r="AZ4" s="112" t="n">
        <v>43835</v>
      </c>
      <c r="BA4" s="112" t="n">
        <v>43842</v>
      </c>
      <c r="BB4" s="113"/>
      <c r="BC4" s="114"/>
      <c r="BD4" s="115"/>
      <c r="BE4" s="115"/>
      <c r="BF4" s="115"/>
      <c r="BG4" s="115"/>
      <c r="BH4" s="115"/>
      <c r="BI4" s="115"/>
      <c r="BJ4" s="115"/>
      <c r="BK4" s="115"/>
      <c r="BL4" s="115"/>
      <c r="BM4" s="115"/>
      <c r="BN4" s="115"/>
      <c r="BO4" s="115"/>
      <c r="BP4" s="115"/>
      <c r="BQ4" s="115"/>
      <c r="BR4" s="115"/>
      <c r="BS4" s="115"/>
      <c r="BT4" s="115"/>
      <c r="BU4" s="115"/>
      <c r="BV4" s="115"/>
      <c r="BW4" s="115"/>
      <c r="BX4" s="115"/>
      <c r="BY4" s="115"/>
      <c r="BZ4" s="115"/>
      <c r="CA4" s="115"/>
      <c r="CB4" s="115"/>
      <c r="CC4" s="115"/>
      <c r="CD4" s="115"/>
      <c r="CE4" s="115"/>
      <c r="CF4" s="115"/>
      <c r="CG4" s="115"/>
      <c r="CH4" s="115"/>
      <c r="CI4" s="115"/>
      <c r="CJ4" s="115"/>
      <c r="CK4" s="115"/>
      <c r="CL4" s="115"/>
      <c r="CM4" s="115"/>
      <c r="CN4" s="115"/>
      <c r="CO4" s="115"/>
      <c r="CP4" s="115"/>
      <c r="CQ4" s="115"/>
      <c r="CR4" s="115"/>
      <c r="CS4" s="115"/>
      <c r="CT4" s="115"/>
      <c r="CU4" s="115"/>
      <c r="CV4" s="115"/>
      <c r="CW4" s="115"/>
      <c r="CX4" s="115"/>
      <c r="CY4" s="115"/>
      <c r="CZ4" s="115"/>
      <c r="DA4" s="115"/>
      <c r="DB4" s="115"/>
      <c r="DC4" s="115"/>
      <c r="DD4" s="115"/>
      <c r="DE4" s="115"/>
      <c r="DF4" s="115"/>
      <c r="DG4" s="115"/>
      <c r="DH4" s="115"/>
      <c r="DI4" s="115"/>
      <c r="DJ4" s="115"/>
      <c r="DK4" s="115"/>
      <c r="DL4" s="115"/>
      <c r="DM4" s="115"/>
      <c r="DN4" s="115"/>
      <c r="DO4" s="115"/>
      <c r="DP4" s="115"/>
      <c r="DQ4" s="115"/>
      <c r="DR4" s="115"/>
      <c r="DS4" s="115"/>
      <c r="DT4" s="115"/>
      <c r="DU4" s="115"/>
      <c r="DV4" s="115"/>
      <c r="DW4" s="115"/>
      <c r="DX4" s="115"/>
      <c r="DY4" s="115"/>
      <c r="DZ4" s="115"/>
      <c r="EA4" s="115"/>
      <c r="EB4" s="115"/>
      <c r="EC4" s="115"/>
      <c r="ED4" s="115"/>
      <c r="EE4" s="115"/>
      <c r="EF4" s="115"/>
      <c r="EG4" s="115"/>
      <c r="EH4" s="115"/>
      <c r="EI4" s="115"/>
      <c r="EJ4" s="115"/>
      <c r="EK4" s="115"/>
      <c r="EL4" s="115"/>
      <c r="EM4" s="115"/>
      <c r="EN4" s="115"/>
      <c r="EO4" s="115"/>
      <c r="EP4" s="115"/>
      <c r="EQ4" s="115"/>
      <c r="ER4" s="115"/>
      <c r="ES4" s="115"/>
      <c r="ET4" s="115"/>
      <c r="EU4" s="115"/>
      <c r="EV4" s="115"/>
      <c r="EW4" s="115"/>
      <c r="EX4" s="115"/>
      <c r="EY4" s="115"/>
      <c r="EZ4" s="115"/>
      <c r="FA4" s="115"/>
      <c r="FB4" s="115"/>
      <c r="FC4" s="115"/>
      <c r="FD4" s="115"/>
      <c r="FE4" s="115"/>
      <c r="FF4" s="115"/>
      <c r="FG4" s="115"/>
      <c r="FH4" s="115"/>
      <c r="FI4" s="115"/>
      <c r="FJ4" s="115"/>
      <c r="FK4" s="115"/>
      <c r="FL4" s="115"/>
      <c r="FM4" s="115"/>
      <c r="FN4" s="115"/>
      <c r="FO4" s="115"/>
      <c r="FP4" s="115"/>
      <c r="FQ4" s="115"/>
      <c r="FR4" s="115"/>
      <c r="FS4" s="115"/>
      <c r="FT4" s="115"/>
      <c r="FU4" s="115"/>
      <c r="FV4" s="115"/>
      <c r="FW4" s="115"/>
      <c r="FX4" s="115"/>
      <c r="FY4" s="115"/>
      <c r="FZ4" s="115"/>
      <c r="GA4" s="115"/>
      <c r="GB4" s="115"/>
      <c r="GC4" s="115"/>
    </row>
    <row r="5" customFormat="false" ht="12.8" hidden="false" customHeight="false" outlineLevel="0" collapsed="false">
      <c r="B5" s="117" t="s">
        <v>200</v>
      </c>
      <c r="C5" s="51" t="n">
        <v>1</v>
      </c>
      <c r="D5" s="118" t="s">
        <v>201</v>
      </c>
      <c r="E5" s="53" t="s">
        <v>202</v>
      </c>
      <c r="P5" s="119" t="n">
        <v>43833</v>
      </c>
      <c r="Q5" s="119" t="n">
        <v>44012</v>
      </c>
      <c r="S5" s="120" t="n">
        <v>50</v>
      </c>
      <c r="T5" s="120" t="n">
        <v>11</v>
      </c>
      <c r="U5" s="121" t="n">
        <v>104</v>
      </c>
      <c r="V5" s="121" t="n">
        <v>27</v>
      </c>
      <c r="W5" s="119"/>
      <c r="X5" s="119"/>
      <c r="Y5" s="122" t="n">
        <v>0</v>
      </c>
      <c r="Z5" s="123" t="n">
        <v>0</v>
      </c>
      <c r="AB5" s="53" t="s">
        <v>203</v>
      </c>
      <c r="AD5" s="124" t="n">
        <v>0.22</v>
      </c>
      <c r="AE5" s="125" t="n">
        <v>0.22</v>
      </c>
      <c r="AF5" s="126"/>
      <c r="AG5" s="127"/>
      <c r="AH5" s="127"/>
      <c r="AI5" s="127"/>
      <c r="AJ5" s="127" t="str">
        <f aca="false">"      " &amp; TEXT(AE5,"#0.00%") &amp; " "</f>
        <v>      22.00% </v>
      </c>
      <c r="AK5" s="127"/>
      <c r="AL5" s="127"/>
      <c r="AM5" s="127"/>
      <c r="AN5" s="127"/>
      <c r="AO5" s="127"/>
      <c r="AP5" s="127"/>
      <c r="AQ5" s="127"/>
      <c r="AR5" s="127"/>
      <c r="AS5" s="127"/>
      <c r="AT5" s="127"/>
      <c r="AU5" s="127"/>
      <c r="AV5" s="127"/>
      <c r="AW5" s="127"/>
      <c r="AX5" s="127"/>
      <c r="AY5" s="127"/>
      <c r="AZ5" s="127"/>
      <c r="BA5" s="127" t="str">
        <f aca="false">"      " &amp; "프로젝트 관리" &amp; " " &amp; IF(P5="","",TEXT(P5,"M/D-")) &amp; IF(Q5="","",TEXT(Q5,"M/D")) &amp; " "</f>
        <v>      프로젝트 관리 1/3-6/30 </v>
      </c>
      <c r="BB5" s="127"/>
      <c r="BC5" s="128"/>
    </row>
    <row r="6" customFormat="false" ht="12.8" hidden="false" customHeight="false" outlineLevel="1" collapsed="false">
      <c r="B6" s="117" t="s">
        <v>200</v>
      </c>
      <c r="C6" s="51" t="n">
        <v>2</v>
      </c>
      <c r="D6" s="118" t="s">
        <v>204</v>
      </c>
      <c r="F6" s="53" t="s">
        <v>205</v>
      </c>
      <c r="P6" s="119" t="n">
        <v>43834</v>
      </c>
      <c r="Q6" s="119" t="n">
        <v>43860</v>
      </c>
      <c r="S6" s="120" t="n">
        <v>8</v>
      </c>
      <c r="T6" s="120" t="n">
        <v>8</v>
      </c>
      <c r="U6" s="121" t="n">
        <v>17</v>
      </c>
      <c r="V6" s="121" t="n">
        <v>17</v>
      </c>
      <c r="W6" s="119"/>
      <c r="X6" s="119"/>
      <c r="Y6" s="122" t="n">
        <v>0</v>
      </c>
      <c r="Z6" s="123" t="n">
        <v>0</v>
      </c>
      <c r="AD6" s="124" t="n">
        <v>1</v>
      </c>
      <c r="AE6" s="125" t="n">
        <v>1</v>
      </c>
      <c r="AF6" s="126"/>
      <c r="AG6" s="127"/>
      <c r="AH6" s="127"/>
      <c r="AI6" s="127" t="str">
        <f aca="false">"   " &amp; TEXT(AE6,"#0.00%") &amp; " " &amp; "프로젝트 착수 및 계획수립" &amp; " " &amp; IF(P6="","",TEXT(P6,"M/D-")) &amp; IF(Q6="","",TEXT(Q6,"M/D")) &amp; " "</f>
        <v>   100.00% 프로젝트 착수 및 계획수립 1/4-1/30 </v>
      </c>
      <c r="AJ6" s="127"/>
      <c r="AK6" s="127"/>
      <c r="AL6" s="127"/>
      <c r="AM6" s="127"/>
      <c r="AN6" s="127"/>
      <c r="AO6" s="127"/>
      <c r="AP6" s="127"/>
      <c r="AQ6" s="127"/>
      <c r="AR6" s="127"/>
      <c r="AS6" s="127"/>
      <c r="AT6" s="127"/>
      <c r="AU6" s="127"/>
      <c r="AV6" s="127"/>
      <c r="AW6" s="127"/>
      <c r="AX6" s="127"/>
      <c r="AY6" s="127"/>
      <c r="AZ6" s="127"/>
      <c r="BA6" s="127"/>
      <c r="BB6" s="127"/>
    </row>
    <row r="7" customFormat="false" ht="12.8" hidden="false" customHeight="false" outlineLevel="2" collapsed="false">
      <c r="C7" s="51" t="n">
        <v>3</v>
      </c>
      <c r="D7" s="118" t="s">
        <v>206</v>
      </c>
      <c r="G7" s="53" t="s">
        <v>207</v>
      </c>
      <c r="P7" s="119" t="n">
        <v>43834</v>
      </c>
      <c r="Q7" s="119" t="n">
        <v>43845</v>
      </c>
      <c r="S7" s="120" t="n">
        <v>2</v>
      </c>
      <c r="T7" s="120" t="n">
        <v>2</v>
      </c>
      <c r="U7" s="121" t="n">
        <v>2</v>
      </c>
      <c r="V7" s="121" t="n">
        <v>2</v>
      </c>
      <c r="W7" s="119" t="n">
        <v>43696</v>
      </c>
      <c r="X7" s="119" t="n">
        <v>43697</v>
      </c>
      <c r="Y7" s="122" t="n">
        <v>2</v>
      </c>
      <c r="Z7" s="123" t="n">
        <v>2</v>
      </c>
      <c r="AA7" s="59" t="n">
        <v>1</v>
      </c>
      <c r="AD7" s="124" t="n">
        <v>1</v>
      </c>
      <c r="AE7" s="125" t="n">
        <v>1</v>
      </c>
      <c r="AF7" s="126" t="str">
        <f aca="false">"   " &amp; TEXT(AE7,"#0.00%") &amp; " " &amp; "프로젝트 착수" &amp; "(이지은,김분석)" &amp; " " &amp; IF(P7="","",TEXT(P7,"M/D-")) &amp; IF(Q7="","",TEXT(Q7,"M/D")) &amp; " "</f>
        <v>   100.00% 프로젝트 착수(이지은,김분석) 1/4-1/15 </v>
      </c>
      <c r="AG7" s="127"/>
      <c r="AH7" s="127"/>
      <c r="AI7" s="127"/>
      <c r="AJ7" s="127"/>
      <c r="AK7" s="127"/>
      <c r="AL7" s="127"/>
      <c r="AM7" s="127"/>
      <c r="AN7" s="127"/>
      <c r="AO7" s="127"/>
      <c r="AP7" s="127"/>
      <c r="AQ7" s="127"/>
      <c r="AR7" s="127"/>
      <c r="AS7" s="127"/>
      <c r="AT7" s="127"/>
      <c r="AU7" s="127"/>
      <c r="AV7" s="127"/>
      <c r="AW7" s="127"/>
      <c r="AX7" s="127"/>
      <c r="AY7" s="127"/>
      <c r="AZ7" s="127"/>
      <c r="BA7" s="127"/>
      <c r="BB7" s="127"/>
    </row>
    <row r="8" customFormat="false" ht="12.8" hidden="false" customHeight="false" outlineLevel="2" collapsed="false">
      <c r="B8" s="117" t="s">
        <v>200</v>
      </c>
      <c r="C8" s="51" t="n">
        <v>3</v>
      </c>
      <c r="D8" s="118" t="s">
        <v>208</v>
      </c>
      <c r="G8" s="53" t="s">
        <v>209</v>
      </c>
      <c r="P8" s="119" t="n">
        <v>43846</v>
      </c>
      <c r="Q8" s="119" t="n">
        <v>43859</v>
      </c>
      <c r="S8" s="120" t="n">
        <v>6</v>
      </c>
      <c r="T8" s="120" t="n">
        <v>6</v>
      </c>
      <c r="U8" s="121" t="n">
        <v>13</v>
      </c>
      <c r="V8" s="121" t="n">
        <v>13</v>
      </c>
      <c r="W8" s="119"/>
      <c r="X8" s="119"/>
      <c r="Y8" s="122" t="n">
        <v>0</v>
      </c>
      <c r="Z8" s="123" t="n">
        <v>0</v>
      </c>
      <c r="AD8" s="124" t="n">
        <v>1</v>
      </c>
      <c r="AE8" s="125" t="n">
        <v>1</v>
      </c>
      <c r="AF8" s="126"/>
      <c r="AG8" s="127"/>
      <c r="AH8" s="127"/>
      <c r="AI8" s="127" t="str">
        <f aca="false">"   " &amp; TEXT(AE8,"#0.00%") &amp; " " &amp; "프로젝트 범위정의" &amp; " " &amp; IF(P8="","",TEXT(P8,"M/D-")) &amp; IF(Q8="","",TEXT(Q8,"M/D")) &amp; " "</f>
        <v>   100.00% 프로젝트 범위정의 1/16-1/29 </v>
      </c>
      <c r="AJ8" s="127"/>
      <c r="AK8" s="127"/>
      <c r="AL8" s="127"/>
      <c r="AM8" s="127"/>
      <c r="AN8" s="127"/>
      <c r="AO8" s="127"/>
      <c r="AP8" s="127"/>
      <c r="AQ8" s="127"/>
      <c r="AR8" s="127"/>
      <c r="AS8" s="127"/>
      <c r="AT8" s="127"/>
      <c r="AU8" s="127"/>
      <c r="AV8" s="127"/>
      <c r="AW8" s="127"/>
      <c r="AX8" s="127"/>
      <c r="AY8" s="127"/>
      <c r="AZ8" s="127"/>
      <c r="BA8" s="127"/>
      <c r="BB8" s="127"/>
    </row>
    <row r="9" customFormat="false" ht="12.8" hidden="false" customHeight="false" outlineLevel="3" collapsed="false">
      <c r="C9" s="51" t="n">
        <v>4</v>
      </c>
      <c r="D9" s="118" t="s">
        <v>210</v>
      </c>
      <c r="H9" s="53" t="s">
        <v>211</v>
      </c>
      <c r="P9" s="119" t="n">
        <v>43847</v>
      </c>
      <c r="Q9" s="119" t="n">
        <v>43855</v>
      </c>
      <c r="S9" s="120" t="n">
        <v>5</v>
      </c>
      <c r="T9" s="120" t="n">
        <v>5</v>
      </c>
      <c r="U9" s="121" t="n">
        <v>5</v>
      </c>
      <c r="V9" s="121" t="n">
        <v>5</v>
      </c>
      <c r="W9" s="119" t="n">
        <v>43700</v>
      </c>
      <c r="X9" s="119" t="n">
        <v>43706</v>
      </c>
      <c r="Y9" s="122" t="n">
        <v>5</v>
      </c>
      <c r="Z9" s="123" t="n">
        <v>5</v>
      </c>
      <c r="AA9" s="59" t="n">
        <v>1</v>
      </c>
      <c r="AD9" s="124" t="n">
        <v>1</v>
      </c>
      <c r="AE9" s="125" t="n">
        <v>1</v>
      </c>
      <c r="AF9" s="126"/>
      <c r="AG9" s="127" t="str">
        <f aca="false">"     " &amp; TEXT(AE9,"#0.00%") &amp; " " &amp; "프로젝트 계획 수립" &amp; "(이지은)" &amp; " " &amp; IF(P9="","",TEXT(P9,"M/D-")) &amp; IF(Q9="","",TEXT(Q9,"M/D")) &amp; " "</f>
        <v>     100.00% 프로젝트 계획 수립(이지은) 1/17-1/25 </v>
      </c>
      <c r="AH9" s="127"/>
      <c r="AI9" s="127"/>
      <c r="AJ9" s="127"/>
      <c r="AK9" s="127"/>
      <c r="AL9" s="127"/>
      <c r="AM9" s="127"/>
      <c r="AN9" s="127"/>
      <c r="AO9" s="127"/>
      <c r="AP9" s="127"/>
      <c r="AQ9" s="127"/>
      <c r="AR9" s="127"/>
      <c r="AS9" s="127"/>
      <c r="AT9" s="127"/>
      <c r="AU9" s="127"/>
      <c r="AV9" s="127"/>
      <c r="AW9" s="127"/>
      <c r="AX9" s="127"/>
      <c r="AY9" s="127"/>
      <c r="AZ9" s="127"/>
      <c r="BA9" s="127"/>
      <c r="BB9" s="127"/>
    </row>
    <row r="10" customFormat="false" ht="12.8" hidden="false" customHeight="false" outlineLevel="3" collapsed="false">
      <c r="C10" s="51" t="n">
        <v>4</v>
      </c>
      <c r="D10" s="118" t="s">
        <v>212</v>
      </c>
      <c r="H10" s="53" t="s">
        <v>213</v>
      </c>
      <c r="P10" s="119" t="n">
        <v>43856</v>
      </c>
      <c r="Q10" s="119" t="n">
        <v>43859</v>
      </c>
      <c r="S10" s="120" t="n">
        <v>1</v>
      </c>
      <c r="T10" s="120" t="n">
        <v>1</v>
      </c>
      <c r="U10" s="121" t="n">
        <v>1</v>
      </c>
      <c r="V10" s="121" t="n">
        <v>1</v>
      </c>
      <c r="W10" s="119" t="n">
        <v>43718</v>
      </c>
      <c r="X10" s="119" t="n">
        <v>43718</v>
      </c>
      <c r="Y10" s="122" t="n">
        <v>1</v>
      </c>
      <c r="Z10" s="123" t="n">
        <v>1</v>
      </c>
      <c r="AA10" s="59" t="n">
        <v>1</v>
      </c>
      <c r="AD10" s="124" t="n">
        <v>1</v>
      </c>
      <c r="AE10" s="125" t="n">
        <v>1</v>
      </c>
      <c r="AF10" s="126"/>
      <c r="AG10" s="127"/>
      <c r="AH10" s="127"/>
      <c r="AI10" s="127" t="str">
        <f aca="false">"   " &amp; TEXT(AE10,"#0.00%") &amp; " " &amp; "착수보고(Kick off)" &amp; "(이지은)" &amp; " " &amp; IF(P10="","",TEXT(P10,"M/D-")) &amp; IF(Q10="","",TEXT(Q10,"M/D")) &amp; " "</f>
        <v>   100.00% 착수보고(Kick off)(이지은) 1/26-1/29 </v>
      </c>
      <c r="AJ10" s="127"/>
      <c r="AK10" s="127"/>
      <c r="AL10" s="127"/>
      <c r="AM10" s="127"/>
      <c r="AN10" s="127"/>
      <c r="AO10" s="127"/>
      <c r="AP10" s="127"/>
      <c r="AQ10" s="127"/>
      <c r="AR10" s="127"/>
      <c r="AS10" s="127"/>
      <c r="AT10" s="127"/>
      <c r="AU10" s="127"/>
      <c r="AV10" s="127"/>
      <c r="AW10" s="127"/>
      <c r="AX10" s="127"/>
      <c r="AY10" s="127"/>
      <c r="AZ10" s="127"/>
      <c r="BA10" s="127"/>
      <c r="BB10" s="127"/>
    </row>
    <row r="11" customFormat="false" ht="12.8" hidden="false" customHeight="false" outlineLevel="1" collapsed="false">
      <c r="B11" s="117" t="s">
        <v>200</v>
      </c>
      <c r="C11" s="51" t="n">
        <v>2</v>
      </c>
      <c r="D11" s="118" t="s">
        <v>214</v>
      </c>
      <c r="F11" s="53" t="s">
        <v>215</v>
      </c>
      <c r="P11" s="119" t="n">
        <v>43862</v>
      </c>
      <c r="Q11" s="119" t="n">
        <v>43886</v>
      </c>
      <c r="S11" s="120" t="n">
        <v>22</v>
      </c>
      <c r="T11" s="120" t="n">
        <v>3</v>
      </c>
      <c r="U11" s="121" t="n">
        <v>65</v>
      </c>
      <c r="V11" s="121" t="n">
        <v>11</v>
      </c>
      <c r="W11" s="119"/>
      <c r="X11" s="119"/>
      <c r="Y11" s="122" t="n">
        <v>0</v>
      </c>
      <c r="Z11" s="123" t="n">
        <v>0</v>
      </c>
      <c r="AB11" s="53" t="s">
        <v>203</v>
      </c>
      <c r="AD11" s="124" t="n">
        <v>0.136363636363636</v>
      </c>
      <c r="AE11" s="125" t="n">
        <v>0.136363636363636</v>
      </c>
      <c r="AF11" s="126"/>
      <c r="AG11" s="127"/>
      <c r="AH11" s="127"/>
      <c r="AI11" s="127"/>
      <c r="AJ11" s="127"/>
      <c r="AK11" s="127" t="str">
        <f aca="false">" " &amp; TEXT(AE11,"#0.00%") &amp; " "</f>
        <v> 13.64% </v>
      </c>
      <c r="AL11" s="127"/>
      <c r="AM11" s="127"/>
      <c r="AN11" s="127"/>
      <c r="AO11" s="127"/>
      <c r="AP11" s="127"/>
      <c r="AQ11" s="127"/>
      <c r="AR11" s="127"/>
      <c r="AS11" s="127"/>
      <c r="AT11" s="127"/>
      <c r="AU11" s="127"/>
      <c r="AV11" s="127"/>
      <c r="AW11" s="127" t="str">
        <f aca="false">" " &amp; "프로젝트 수행 및 통제" &amp; " " &amp; IF(P11="","",TEXT(P11,"M/D-")) &amp; IF(Q11="","",TEXT(Q11,"M/D")) &amp; " "</f>
        <v> 프로젝트 수행 및 통제 2/1-2/25 </v>
      </c>
      <c r="AX11" s="127"/>
      <c r="AY11" s="127"/>
      <c r="AZ11" s="127"/>
      <c r="BA11" s="127"/>
      <c r="BB11" s="127"/>
    </row>
    <row r="12" customFormat="false" ht="12.8" hidden="false" customHeight="false" outlineLevel="2" collapsed="false">
      <c r="C12" s="51" t="n">
        <v>3</v>
      </c>
      <c r="D12" s="118" t="s">
        <v>216</v>
      </c>
      <c r="G12" s="53" t="s">
        <v>217</v>
      </c>
      <c r="P12" s="119" t="n">
        <v>43863</v>
      </c>
      <c r="Q12" s="119" t="n">
        <v>43871</v>
      </c>
      <c r="S12" s="120" t="n">
        <v>2</v>
      </c>
      <c r="T12" s="120" t="n">
        <v>2</v>
      </c>
      <c r="U12" s="121" t="n">
        <v>2</v>
      </c>
      <c r="V12" s="121" t="n">
        <v>2</v>
      </c>
      <c r="W12" s="119" t="n">
        <v>43724</v>
      </c>
      <c r="X12" s="119" t="n">
        <v>43728</v>
      </c>
      <c r="Y12" s="122" t="n">
        <v>5</v>
      </c>
      <c r="Z12" s="123" t="n">
        <v>5</v>
      </c>
      <c r="AA12" s="59" t="n">
        <v>1</v>
      </c>
      <c r="AD12" s="124" t="n">
        <v>1</v>
      </c>
      <c r="AE12" s="125" t="n">
        <v>1</v>
      </c>
      <c r="AF12" s="126"/>
      <c r="AG12" s="127"/>
      <c r="AH12" s="127"/>
      <c r="AI12" s="127"/>
      <c r="AJ12" s="127" t="str">
        <f aca="false">"   " &amp; TEXT(AE12,"#0.00%") &amp; " " &amp; "월간보고1" &amp; "(박설계)" &amp; " " &amp; IF(P12="","",TEXT(P12,"M/D-")) &amp; IF(Q12="","",TEXT(Q12,"M/D")) &amp; " "</f>
        <v>   100.00% 월간보고1(박설계) 2/2-2/10 </v>
      </c>
      <c r="AK12" s="127"/>
      <c r="AL12" s="127"/>
      <c r="AM12" s="127"/>
      <c r="AN12" s="127"/>
      <c r="AO12" s="127"/>
      <c r="AP12" s="127"/>
      <c r="AQ12" s="127"/>
      <c r="AR12" s="127"/>
      <c r="AS12" s="127"/>
      <c r="AT12" s="127"/>
      <c r="AU12" s="127"/>
      <c r="AV12" s="127"/>
      <c r="AW12" s="127"/>
      <c r="AX12" s="127"/>
      <c r="AY12" s="127"/>
      <c r="AZ12" s="127"/>
      <c r="BA12" s="127"/>
      <c r="BB12" s="127"/>
    </row>
    <row r="13" customFormat="false" ht="12.8" hidden="false" customHeight="false" outlineLevel="2" collapsed="false">
      <c r="C13" s="51" t="n">
        <v>3</v>
      </c>
      <c r="D13" s="118" t="s">
        <v>218</v>
      </c>
      <c r="G13" s="53" t="s">
        <v>219</v>
      </c>
      <c r="P13" s="119" t="n">
        <v>43872</v>
      </c>
      <c r="Q13" s="119" t="n">
        <v>43876</v>
      </c>
      <c r="S13" s="120" t="n">
        <v>1</v>
      </c>
      <c r="T13" s="120" t="n">
        <v>0</v>
      </c>
      <c r="U13" s="121" t="n">
        <v>1</v>
      </c>
      <c r="V13" s="121" t="n">
        <v>0</v>
      </c>
      <c r="W13" s="119"/>
      <c r="X13" s="119"/>
      <c r="Y13" s="122"/>
      <c r="Z13" s="123" t="n">
        <v>0</v>
      </c>
      <c r="AA13" s="59" t="n">
        <v>1</v>
      </c>
      <c r="AD13" s="124" t="n">
        <v>0</v>
      </c>
      <c r="AE13" s="125" t="n">
        <v>0</v>
      </c>
      <c r="AF13" s="126"/>
      <c r="AG13" s="127"/>
      <c r="AH13" s="127"/>
      <c r="AI13" s="127"/>
      <c r="AJ13" s="127"/>
      <c r="AK13" s="127"/>
      <c r="AL13" s="127"/>
      <c r="AM13" s="127"/>
      <c r="AN13" s="127" t="str">
        <f aca="false">"  " &amp; TEXT(AE13,"#0.00%") &amp; " " &amp; "월간보고2" &amp; "(박설계)" &amp; " " &amp; IF(P13="","",TEXT(P13,"M/D-")) &amp; IF(Q13="","",TEXT(Q13,"M/D")) &amp; " "</f>
        <v>  0.00% 월간보고2(박설계) 2/11-2/15 </v>
      </c>
      <c r="AO13" s="127"/>
      <c r="AP13" s="127"/>
      <c r="AQ13" s="127"/>
      <c r="AR13" s="127"/>
      <c r="AS13" s="127"/>
      <c r="AT13" s="127"/>
      <c r="AU13" s="127"/>
      <c r="AV13" s="127"/>
      <c r="AW13" s="127"/>
      <c r="AX13" s="127"/>
      <c r="AY13" s="127"/>
      <c r="AZ13" s="127"/>
      <c r="BA13" s="127"/>
      <c r="BB13" s="127"/>
    </row>
    <row r="14" customFormat="false" ht="12.8" hidden="false" customHeight="false" outlineLevel="2" collapsed="false">
      <c r="C14" s="51" t="n">
        <v>3</v>
      </c>
      <c r="D14" s="118" t="s">
        <v>220</v>
      </c>
      <c r="G14" s="53" t="s">
        <v>221</v>
      </c>
      <c r="P14" s="119" t="n">
        <v>43876</v>
      </c>
      <c r="Q14" s="119" t="n">
        <v>43881</v>
      </c>
      <c r="S14" s="120" t="n">
        <v>18</v>
      </c>
      <c r="T14" s="120" t="n">
        <v>0</v>
      </c>
      <c r="U14" s="121" t="n">
        <v>18</v>
      </c>
      <c r="V14" s="121" t="n">
        <v>0</v>
      </c>
      <c r="W14" s="119"/>
      <c r="X14" s="119"/>
      <c r="Y14" s="122"/>
      <c r="Z14" s="123" t="n">
        <v>0</v>
      </c>
      <c r="AA14" s="59" t="n">
        <v>1</v>
      </c>
      <c r="AD14" s="124" t="n">
        <v>0</v>
      </c>
      <c r="AE14" s="125" t="n">
        <v>0</v>
      </c>
      <c r="AF14" s="126"/>
      <c r="AG14" s="127"/>
      <c r="AH14" s="127"/>
      <c r="AI14" s="127"/>
      <c r="AJ14" s="127"/>
      <c r="AK14" s="127"/>
      <c r="AL14" s="127"/>
      <c r="AM14" s="127"/>
      <c r="AN14" s="127"/>
      <c r="AO14" s="127"/>
      <c r="AP14" s="127"/>
      <c r="AQ14" s="127"/>
      <c r="AR14" s="127"/>
      <c r="AS14" s="127" t="str">
        <f aca="false">"   " &amp; TEXT(AE14,"#0.00%") &amp; " "</f>
        <v>   0.00% </v>
      </c>
      <c r="AT14" s="127"/>
      <c r="AU14" s="127"/>
      <c r="AV14" s="127"/>
      <c r="AW14" s="127" t="str">
        <f aca="false">" " &amp; "월간보고3" &amp; " " &amp; IF(P14="","",TEXT(P14,"M/D-")) &amp; IF(Q14="","",TEXT(Q14,"M/D")) &amp; " "</f>
        <v> 월간보고3 2/15-2/20 </v>
      </c>
      <c r="AX14" s="127"/>
      <c r="AY14" s="127"/>
      <c r="AZ14" s="127"/>
      <c r="BA14" s="127"/>
      <c r="BB14" s="127"/>
    </row>
    <row r="15" customFormat="false" ht="12.8" hidden="false" customHeight="false" outlineLevel="2" collapsed="false">
      <c r="C15" s="51" t="n">
        <v>3</v>
      </c>
      <c r="D15" s="118" t="s">
        <v>222</v>
      </c>
      <c r="G15" s="53" t="s">
        <v>223</v>
      </c>
      <c r="P15" s="119" t="n">
        <v>43881</v>
      </c>
      <c r="Q15" s="119" t="n">
        <v>43885</v>
      </c>
      <c r="S15" s="120" t="n">
        <v>1</v>
      </c>
      <c r="T15" s="120" t="n">
        <v>1</v>
      </c>
      <c r="U15" s="121" t="n">
        <v>1</v>
      </c>
      <c r="V15" s="121" t="n">
        <v>1</v>
      </c>
      <c r="W15" s="119" t="n">
        <v>43725</v>
      </c>
      <c r="X15" s="119" t="n">
        <v>43727</v>
      </c>
      <c r="Y15" s="122" t="n">
        <v>3</v>
      </c>
      <c r="Z15" s="123" t="n">
        <v>3</v>
      </c>
      <c r="AA15" s="59" t="n">
        <v>1</v>
      </c>
      <c r="AD15" s="124" t="n">
        <v>1</v>
      </c>
      <c r="AE15" s="125" t="n">
        <v>1</v>
      </c>
      <c r="AF15" s="126"/>
      <c r="AG15" s="127"/>
      <c r="AH15" s="127"/>
      <c r="AI15" s="127" t="str">
        <f aca="false">"   " &amp; TEXT(AE15,"#0.00%") &amp; " " &amp; "중간보고" &amp; " " &amp; IF(P15="","",TEXT(P15,"M/D-")) &amp; IF(Q15="","",TEXT(Q15,"M/D")) &amp; " "</f>
        <v>   100.00% 중간보고 2/20-2/24 </v>
      </c>
      <c r="AJ15" s="127"/>
      <c r="AK15" s="127"/>
      <c r="AL15" s="127"/>
      <c r="AM15" s="127"/>
      <c r="AN15" s="127"/>
      <c r="AO15" s="127"/>
      <c r="AP15" s="127"/>
      <c r="AQ15" s="127"/>
      <c r="AR15" s="127"/>
      <c r="AS15" s="127"/>
      <c r="AT15" s="127"/>
      <c r="AU15" s="127"/>
      <c r="AV15" s="127"/>
      <c r="AW15" s="127"/>
      <c r="AX15" s="127"/>
      <c r="AY15" s="127"/>
      <c r="AZ15" s="127"/>
      <c r="BA15" s="127"/>
      <c r="BB15" s="127"/>
    </row>
    <row r="16" customFormat="false" ht="12.8" hidden="false" customHeight="false" outlineLevel="2" collapsed="false">
      <c r="C16" s="51" t="n">
        <v>0</v>
      </c>
      <c r="D16" s="118"/>
      <c r="P16" s="119"/>
      <c r="Q16" s="119"/>
      <c r="S16" s="120"/>
      <c r="T16" s="120"/>
      <c r="U16" s="121" t="n">
        <v>0</v>
      </c>
      <c r="V16" s="121" t="n">
        <v>0</v>
      </c>
      <c r="W16" s="119"/>
      <c r="X16" s="119"/>
      <c r="Y16" s="122"/>
      <c r="Z16" s="123" t="n">
        <v>0</v>
      </c>
      <c r="AA16" s="59" t="n">
        <v>1</v>
      </c>
      <c r="AD16" s="124"/>
      <c r="AE16" s="125"/>
      <c r="AF16" s="126"/>
      <c r="AG16" s="127"/>
      <c r="AH16" s="127"/>
      <c r="AI16" s="127"/>
      <c r="AJ16" s="127"/>
      <c r="AK16" s="127"/>
      <c r="AL16" s="127"/>
      <c r="AM16" s="127"/>
      <c r="AN16" s="127"/>
      <c r="AO16" s="127"/>
      <c r="AP16" s="127"/>
      <c r="AQ16" s="127"/>
      <c r="AR16" s="127"/>
      <c r="AS16" s="127"/>
      <c r="AT16" s="127"/>
      <c r="AU16" s="127"/>
      <c r="AV16" s="127"/>
      <c r="AW16" s="127"/>
      <c r="AX16" s="127"/>
      <c r="AY16" s="127"/>
      <c r="AZ16" s="127"/>
      <c r="BA16" s="127"/>
      <c r="BB16" s="127"/>
    </row>
    <row r="17" customFormat="false" ht="12.8" hidden="false" customHeight="false" outlineLevel="1" collapsed="false">
      <c r="B17" s="117" t="s">
        <v>200</v>
      </c>
      <c r="C17" s="51" t="n">
        <v>2</v>
      </c>
      <c r="D17" s="118" t="s">
        <v>224</v>
      </c>
      <c r="F17" s="53" t="s">
        <v>225</v>
      </c>
      <c r="P17" s="119" t="n">
        <v>43892</v>
      </c>
      <c r="Q17" s="119" t="n">
        <v>43915</v>
      </c>
      <c r="S17" s="120" t="n">
        <v>20</v>
      </c>
      <c r="T17" s="120" t="n">
        <v>0</v>
      </c>
      <c r="U17" s="121" t="n">
        <v>18</v>
      </c>
      <c r="V17" s="121" t="n">
        <v>0</v>
      </c>
      <c r="W17" s="119"/>
      <c r="X17" s="119"/>
      <c r="Y17" s="122" t="n">
        <v>0</v>
      </c>
      <c r="Z17" s="123" t="n">
        <v>0</v>
      </c>
      <c r="AB17" s="53" t="s">
        <v>203</v>
      </c>
      <c r="AD17" s="124" t="n">
        <v>0</v>
      </c>
      <c r="AE17" s="125" t="n">
        <v>0</v>
      </c>
      <c r="AF17" s="126"/>
      <c r="AG17" s="127"/>
      <c r="AH17" s="127"/>
      <c r="AI17" s="127"/>
      <c r="AJ17" s="127"/>
      <c r="AK17" s="127"/>
      <c r="AL17" s="127"/>
      <c r="AM17" s="127"/>
      <c r="AN17" s="127"/>
      <c r="AO17" s="127"/>
      <c r="AP17" s="127"/>
      <c r="AQ17" s="127"/>
      <c r="AR17" s="127"/>
      <c r="AS17" s="127"/>
      <c r="AT17" s="127"/>
      <c r="AU17" s="127"/>
      <c r="AV17" s="127"/>
      <c r="AW17" s="127"/>
      <c r="AX17" s="127" t="str">
        <f aca="false">" " &amp; TEXT(AE17,"#0.00%") &amp; " "</f>
        <v> 0.00% </v>
      </c>
      <c r="AY17" s="127"/>
      <c r="AZ17" s="127"/>
      <c r="BA17" s="127" t="str">
        <f aca="false">"      " &amp; "프로젝트 종료" &amp; " " &amp; IF(P17="","",TEXT(P17,"M/D-")) &amp; IF(Q17="","",TEXT(Q17,"M/D")) &amp; " "</f>
        <v>      프로젝트 종료 3/2-3/25 </v>
      </c>
      <c r="BB17" s="127"/>
    </row>
    <row r="18" customFormat="false" ht="12.8" hidden="false" customHeight="false" outlineLevel="2" collapsed="false">
      <c r="C18" s="51" t="n">
        <v>3</v>
      </c>
      <c r="D18" s="118" t="s">
        <v>226</v>
      </c>
      <c r="G18" s="53" t="s">
        <v>227</v>
      </c>
      <c r="P18" s="119" t="n">
        <v>43893</v>
      </c>
      <c r="Q18" s="119" t="n">
        <v>43900</v>
      </c>
      <c r="S18" s="120" t="n">
        <v>4</v>
      </c>
      <c r="T18" s="120" t="n">
        <v>0</v>
      </c>
      <c r="U18" s="121" t="n">
        <v>4</v>
      </c>
      <c r="V18" s="121" t="n">
        <v>0</v>
      </c>
      <c r="W18" s="119"/>
      <c r="X18" s="119"/>
      <c r="Y18" s="122"/>
      <c r="Z18" s="123" t="n">
        <v>0</v>
      </c>
      <c r="AA18" s="59" t="n">
        <v>1</v>
      </c>
      <c r="AB18" s="53" t="s">
        <v>228</v>
      </c>
      <c r="AD18" s="124" t="n">
        <v>0</v>
      </c>
      <c r="AE18" s="125" t="n">
        <v>0</v>
      </c>
      <c r="AF18" s="126"/>
      <c r="AG18" s="127"/>
      <c r="AH18" s="127"/>
      <c r="AI18" s="127"/>
      <c r="AJ18" s="127"/>
      <c r="AK18" s="127"/>
      <c r="AL18" s="127"/>
      <c r="AM18" s="127"/>
      <c r="AN18" s="127"/>
      <c r="AO18" s="127"/>
      <c r="AP18" s="127"/>
      <c r="AQ18" s="127"/>
      <c r="AR18" s="127"/>
      <c r="AS18" s="127"/>
      <c r="AT18" s="127"/>
      <c r="AU18" s="127"/>
      <c r="AV18" s="127"/>
      <c r="AW18" s="127"/>
      <c r="AX18" s="127" t="str">
        <f aca="false">" " &amp; TEXT(AE18,"#0.00%") &amp; " " &amp; "종료계획수립" &amp; "(김분석,이지은)" &amp; " " &amp; IF(P18="","",TEXT(P18,"M/D-")) &amp; IF(Q18="","",TEXT(Q18,"M/D")) &amp; " "</f>
        <v> 0.00% 종료계획수립(김분석,이지은) 3/3-3/10 </v>
      </c>
      <c r="AY18" s="127"/>
      <c r="AZ18" s="127"/>
      <c r="BA18" s="127"/>
      <c r="BB18" s="127"/>
    </row>
    <row r="19" customFormat="false" ht="12.8" hidden="false" customHeight="false" outlineLevel="2" collapsed="false">
      <c r="C19" s="51" t="n">
        <v>3</v>
      </c>
      <c r="D19" s="118" t="s">
        <v>229</v>
      </c>
      <c r="G19" s="53" t="s">
        <v>230</v>
      </c>
      <c r="P19" s="119" t="n">
        <v>43901</v>
      </c>
      <c r="Q19" s="119" t="n">
        <v>43905</v>
      </c>
      <c r="S19" s="120" t="n">
        <v>14</v>
      </c>
      <c r="T19" s="120" t="n">
        <v>0</v>
      </c>
      <c r="U19" s="121" t="n">
        <v>14</v>
      </c>
      <c r="V19" s="121" t="n">
        <v>0</v>
      </c>
      <c r="W19" s="119"/>
      <c r="X19" s="119"/>
      <c r="Y19" s="122"/>
      <c r="Z19" s="123" t="n">
        <v>0</v>
      </c>
      <c r="AA19" s="59" t="n">
        <v>1</v>
      </c>
      <c r="AB19" s="53" t="s">
        <v>231</v>
      </c>
      <c r="AD19" s="124" t="n">
        <v>0</v>
      </c>
      <c r="AE19" s="125" t="n">
        <v>0</v>
      </c>
      <c r="AF19" s="126"/>
      <c r="AG19" s="127"/>
      <c r="AH19" s="127"/>
      <c r="AI19" s="127"/>
      <c r="AJ19" s="127"/>
      <c r="AK19" s="127"/>
      <c r="AL19" s="127"/>
      <c r="AM19" s="127"/>
      <c r="AN19" s="127"/>
      <c r="AO19" s="127"/>
      <c r="AP19" s="127"/>
      <c r="AQ19" s="127"/>
      <c r="AR19" s="127"/>
      <c r="AS19" s="127"/>
      <c r="AT19" s="127"/>
      <c r="AU19" s="127"/>
      <c r="AV19" s="127"/>
      <c r="AW19" s="127"/>
      <c r="AX19" s="127"/>
      <c r="AY19" s="127" t="str">
        <f aca="false">" " &amp; TEXT(AE19,"#0.00%") &amp; " " &amp; "시스템 인수인계" &amp; "(홍길동)" &amp; " " &amp; IF(P19="","",TEXT(P19,"M/D-")) &amp; IF(Q19="","",TEXT(Q19,"M/D")) &amp; " "</f>
        <v> 0.00% 시스템 인수인계(홍길동) 3/11-3/15 </v>
      </c>
      <c r="AZ19" s="127"/>
      <c r="BA19" s="127"/>
      <c r="BB19" s="127"/>
    </row>
    <row r="20" customFormat="false" ht="12.8" hidden="false" customHeight="false" outlineLevel="2" collapsed="false">
      <c r="C20" s="51" t="n">
        <v>3</v>
      </c>
      <c r="D20" s="118" t="s">
        <v>232</v>
      </c>
      <c r="G20" s="53" t="s">
        <v>233</v>
      </c>
      <c r="P20" s="119" t="n">
        <v>43906</v>
      </c>
      <c r="Q20" s="119" t="n">
        <v>43910</v>
      </c>
      <c r="S20" s="120" t="n">
        <v>1</v>
      </c>
      <c r="T20" s="120" t="n">
        <v>0</v>
      </c>
      <c r="U20" s="121" t="n">
        <v>1</v>
      </c>
      <c r="V20" s="121" t="n">
        <v>0</v>
      </c>
      <c r="W20" s="119"/>
      <c r="X20" s="119"/>
      <c r="Y20" s="122"/>
      <c r="Z20" s="123" t="n">
        <v>0</v>
      </c>
      <c r="AA20" s="59" t="n">
        <v>1</v>
      </c>
      <c r="AB20" s="53" t="s">
        <v>234</v>
      </c>
      <c r="AD20" s="124" t="n">
        <v>0</v>
      </c>
      <c r="AE20" s="125" t="n">
        <v>0</v>
      </c>
      <c r="AF20" s="126"/>
      <c r="AG20" s="127"/>
      <c r="AH20" s="127"/>
      <c r="AI20" s="127"/>
      <c r="AJ20" s="127"/>
      <c r="AK20" s="127"/>
      <c r="AL20" s="127"/>
      <c r="AM20" s="127"/>
      <c r="AN20" s="127"/>
      <c r="AO20" s="127"/>
      <c r="AP20" s="127"/>
      <c r="AQ20" s="127"/>
      <c r="AR20" s="127"/>
      <c r="AS20" s="127"/>
      <c r="AT20" s="127"/>
      <c r="AU20" s="127"/>
      <c r="AV20" s="127"/>
      <c r="AW20" s="127"/>
      <c r="AX20" s="127"/>
      <c r="AY20" s="127"/>
      <c r="AZ20" s="127"/>
      <c r="BA20" s="127" t="str">
        <f aca="false">"     " &amp; TEXT(AE20,"#0.00%") &amp; " " &amp; "종료보고" &amp; "(나고객,이고객)" &amp; " " &amp; IF(P20="","",TEXT(P20,"M/D-")) &amp; IF(Q20="","",TEXT(Q20,"M/D")) &amp; " "</f>
        <v>     0.00% 종료보고(나고객,이고객) 3/16-3/20 </v>
      </c>
      <c r="BB20" s="127"/>
    </row>
    <row r="21" customFormat="false" ht="12.8" hidden="false" customHeight="false" outlineLevel="2" collapsed="false">
      <c r="C21" s="51" t="n">
        <v>3</v>
      </c>
      <c r="D21" s="118" t="s">
        <v>235</v>
      </c>
      <c r="G21" s="53" t="s">
        <v>236</v>
      </c>
      <c r="P21" s="119" t="n">
        <v>43910</v>
      </c>
      <c r="Q21" s="119" t="n">
        <v>43915</v>
      </c>
      <c r="S21" s="120" t="n">
        <v>1</v>
      </c>
      <c r="T21" s="120" t="n">
        <v>0</v>
      </c>
      <c r="U21" s="121" t="n">
        <v>1</v>
      </c>
      <c r="V21" s="121" t="n">
        <v>0</v>
      </c>
      <c r="W21" s="119"/>
      <c r="X21" s="119"/>
      <c r="Y21" s="122"/>
      <c r="Z21" s="123" t="n">
        <v>0</v>
      </c>
      <c r="AA21" s="59" t="n">
        <v>1</v>
      </c>
      <c r="AB21" s="53" t="s">
        <v>237</v>
      </c>
      <c r="AD21" s="124" t="n">
        <v>0</v>
      </c>
      <c r="AE21" s="125" t="n">
        <v>0</v>
      </c>
      <c r="AF21" s="126"/>
      <c r="AG21" s="127"/>
      <c r="AH21" s="127"/>
      <c r="AI21" s="127"/>
      <c r="AJ21" s="127"/>
      <c r="AK21" s="127"/>
      <c r="AL21" s="127"/>
      <c r="AM21" s="127"/>
      <c r="AN21" s="127"/>
      <c r="AO21" s="127"/>
      <c r="AP21" s="127"/>
      <c r="AQ21" s="127"/>
      <c r="AR21" s="127"/>
      <c r="AS21" s="127"/>
      <c r="AT21" s="127"/>
      <c r="AU21" s="127"/>
      <c r="AV21" s="127"/>
      <c r="AW21" s="127"/>
      <c r="AX21" s="127"/>
      <c r="AY21" s="127"/>
      <c r="AZ21" s="127"/>
      <c r="BA21" s="127" t="str">
        <f aca="false">"     " &amp; TEXT(AE21,"#0.00%") &amp; " " &amp; "검수 및 종료" &amp; " " &amp; IF(P21="","",TEXT(P21,"M/D-")) &amp; IF(Q21="","",TEXT(Q21,"M/D")) &amp; " "</f>
        <v>     0.00% 검수 및 종료 3/20-3/25 </v>
      </c>
      <c r="BB21" s="127"/>
    </row>
    <row r="22" customFormat="false" ht="12.8" hidden="false" customHeight="false" outlineLevel="0" collapsed="false">
      <c r="B22" s="117" t="s">
        <v>200</v>
      </c>
      <c r="C22" s="51" t="n">
        <v>1</v>
      </c>
      <c r="D22" s="118" t="s">
        <v>238</v>
      </c>
      <c r="E22" s="53" t="s">
        <v>239</v>
      </c>
      <c r="P22" s="119" t="n">
        <v>43923</v>
      </c>
      <c r="Q22" s="119" t="n">
        <v>43981</v>
      </c>
      <c r="S22" s="120" t="n">
        <v>227</v>
      </c>
      <c r="T22" s="120" t="n">
        <v>46</v>
      </c>
      <c r="U22" s="121" t="n">
        <v>85</v>
      </c>
      <c r="V22" s="121" t="n">
        <v>23</v>
      </c>
      <c r="W22" s="119"/>
      <c r="X22" s="119"/>
      <c r="Y22" s="122" t="n">
        <v>0</v>
      </c>
      <c r="Z22" s="123" t="n">
        <v>0</v>
      </c>
      <c r="AB22" s="53" t="s">
        <v>203</v>
      </c>
      <c r="AD22" s="124" t="n">
        <v>0.202643171806167</v>
      </c>
      <c r="AE22" s="125" t="n">
        <v>0.108370044052863</v>
      </c>
      <c r="AF22" s="126"/>
      <c r="AG22" s="127"/>
      <c r="AH22" s="127" t="str">
        <f aca="false">"     " &amp; TEXT(AE22,"#0.00%") &amp; " "</f>
        <v>     10.84% </v>
      </c>
      <c r="AI22" s="127"/>
      <c r="AJ22" s="127"/>
      <c r="AK22" s="127"/>
      <c r="AL22" s="127"/>
      <c r="AM22" s="127"/>
      <c r="AN22" s="127"/>
      <c r="AO22" s="127"/>
      <c r="AP22" s="127"/>
      <c r="AQ22" s="127"/>
      <c r="AR22" s="127"/>
      <c r="AS22" s="127"/>
      <c r="AT22" s="127"/>
      <c r="AU22" s="127"/>
      <c r="AV22" s="127"/>
      <c r="AW22" s="127"/>
      <c r="AX22" s="127" t="str">
        <f aca="false">"     " &amp; "시스템 개발" &amp; " " &amp; IF(P22="","",TEXT(P22,"M/D-")) &amp; IF(Q22="","",TEXT(Q22,"M/D")) &amp; " "</f>
        <v>     시스템 개발 4/2-5/30 </v>
      </c>
      <c r="AY22" s="127"/>
      <c r="AZ22" s="127"/>
      <c r="BA22" s="127"/>
      <c r="BB22" s="127"/>
    </row>
    <row r="23" customFormat="false" ht="12.8" hidden="false" customHeight="false" outlineLevel="1" collapsed="false">
      <c r="B23" s="117" t="s">
        <v>200</v>
      </c>
      <c r="C23" s="51" t="n">
        <v>2</v>
      </c>
      <c r="D23" s="118" t="s">
        <v>240</v>
      </c>
      <c r="F23" s="53" t="s">
        <v>241</v>
      </c>
      <c r="P23" s="119" t="n">
        <v>43923</v>
      </c>
      <c r="Q23" s="119" t="n">
        <v>43933</v>
      </c>
      <c r="S23" s="120" t="n">
        <v>29</v>
      </c>
      <c r="T23" s="120" t="n">
        <v>29</v>
      </c>
      <c r="U23" s="121" t="n">
        <v>13</v>
      </c>
      <c r="V23" s="121" t="n">
        <v>13</v>
      </c>
      <c r="W23" s="119"/>
      <c r="X23" s="119"/>
      <c r="Y23" s="122" t="n">
        <v>0</v>
      </c>
      <c r="Z23" s="123" t="n">
        <v>0</v>
      </c>
      <c r="AD23" s="124" t="n">
        <v>1</v>
      </c>
      <c r="AE23" s="125" t="n">
        <v>0.848275862068966</v>
      </c>
      <c r="AF23" s="126"/>
      <c r="AG23" s="127"/>
      <c r="AH23" s="127"/>
      <c r="AI23" s="127" t="str">
        <f aca="false">"" &amp; TEXT(AE23,"#0.00%") &amp; " " &amp; "분석" &amp; " " &amp; IF(P23="","",TEXT(P23,"M/D-")) &amp; IF(Q23="","",TEXT(Q23,"M/D")) &amp; " "</f>
        <v>84.83% 분석 4/2-4/12 </v>
      </c>
      <c r="AJ23" s="127"/>
      <c r="AK23" s="127"/>
      <c r="AL23" s="127"/>
      <c r="AM23" s="127"/>
      <c r="AN23" s="127"/>
      <c r="AO23" s="127"/>
      <c r="AP23" s="127"/>
      <c r="AQ23" s="127"/>
      <c r="AR23" s="127"/>
      <c r="AS23" s="127"/>
      <c r="AT23" s="127"/>
      <c r="AU23" s="127"/>
      <c r="AV23" s="127"/>
      <c r="AW23" s="127"/>
      <c r="AX23" s="127"/>
      <c r="AY23" s="127"/>
      <c r="AZ23" s="127"/>
      <c r="BA23" s="127"/>
      <c r="BB23" s="127"/>
    </row>
    <row r="24" customFormat="false" ht="12.8" hidden="false" customHeight="false" outlineLevel="2" collapsed="false">
      <c r="C24" s="51" t="n">
        <v>3</v>
      </c>
      <c r="D24" s="118" t="s">
        <v>242</v>
      </c>
      <c r="G24" s="53" t="s">
        <v>243</v>
      </c>
      <c r="P24" s="119" t="n">
        <v>43924</v>
      </c>
      <c r="Q24" s="119" t="n">
        <v>43926</v>
      </c>
      <c r="S24" s="120" t="n">
        <v>13</v>
      </c>
      <c r="T24" s="120" t="n">
        <v>13</v>
      </c>
      <c r="U24" s="121" t="n">
        <v>13</v>
      </c>
      <c r="V24" s="121" t="n">
        <v>13</v>
      </c>
      <c r="W24" s="119" t="n">
        <v>43700</v>
      </c>
      <c r="X24" s="119" t="n">
        <v>43718</v>
      </c>
      <c r="Y24" s="122" t="n">
        <v>13</v>
      </c>
      <c r="Z24" s="123" t="n">
        <v>13</v>
      </c>
      <c r="AA24" s="59" t="n">
        <v>1</v>
      </c>
      <c r="AB24" s="53" t="s">
        <v>228</v>
      </c>
      <c r="AD24" s="124" t="n">
        <v>1</v>
      </c>
      <c r="AE24" s="125" t="n">
        <v>1</v>
      </c>
      <c r="AF24" s="126"/>
      <c r="AG24" s="127"/>
      <c r="AH24" s="127"/>
      <c r="AI24" s="127" t="str">
        <f aca="false">"   " &amp; TEXT(AE24,"#0.00%") &amp; " " &amp; "요구사항정의" &amp; " " &amp; IF(P24="","",TEXT(P24,"M/D-")) &amp; IF(Q24="","",TEXT(Q24,"M/D")) &amp; " "</f>
        <v>   100.00% 요구사항정의 4/3-4/5 </v>
      </c>
      <c r="AJ24" s="127"/>
      <c r="AK24" s="127"/>
      <c r="AL24" s="127"/>
      <c r="AM24" s="127"/>
      <c r="AN24" s="127"/>
      <c r="AO24" s="127"/>
      <c r="AP24" s="127"/>
      <c r="AQ24" s="127"/>
      <c r="AR24" s="127"/>
      <c r="AS24" s="127"/>
      <c r="AT24" s="127"/>
      <c r="AU24" s="127"/>
      <c r="AV24" s="127"/>
      <c r="AW24" s="127"/>
      <c r="AX24" s="127"/>
      <c r="AY24" s="127"/>
      <c r="AZ24" s="127"/>
      <c r="BA24" s="127"/>
      <c r="BB24" s="127"/>
    </row>
    <row r="25" customFormat="false" ht="12.8" hidden="false" customHeight="false" outlineLevel="2" collapsed="false">
      <c r="B25" s="117" t="s">
        <v>200</v>
      </c>
      <c r="C25" s="51" t="n">
        <v>3</v>
      </c>
      <c r="D25" s="118" t="s">
        <v>244</v>
      </c>
      <c r="G25" s="53" t="s">
        <v>245</v>
      </c>
      <c r="P25" s="119" t="n">
        <v>43926</v>
      </c>
      <c r="Q25" s="119" t="n">
        <v>43928</v>
      </c>
      <c r="S25" s="120" t="n">
        <v>16</v>
      </c>
      <c r="T25" s="120" t="n">
        <v>16</v>
      </c>
      <c r="U25" s="121" t="n">
        <v>8</v>
      </c>
      <c r="V25" s="121" t="n">
        <v>8</v>
      </c>
      <c r="W25" s="119"/>
      <c r="X25" s="119"/>
      <c r="Y25" s="122" t="n">
        <v>0</v>
      </c>
      <c r="Z25" s="123" t="n">
        <v>0</v>
      </c>
      <c r="AD25" s="124" t="n">
        <v>1</v>
      </c>
      <c r="AE25" s="125" t="n">
        <v>0.725</v>
      </c>
      <c r="AF25" s="126"/>
      <c r="AG25" s="127"/>
      <c r="AH25" s="127" t="str">
        <f aca="false">"      " &amp; TEXT(AE25,"#0.00%") &amp; " " &amp; "논리모델구축" &amp; " " &amp; IF(P25="","",TEXT(P25,"M/D-")) &amp; IF(Q25="","",TEXT(Q25,"M/D")) &amp; " "</f>
        <v>      72.50% 논리모델구축 4/5-4/7 </v>
      </c>
      <c r="AI25" s="127"/>
      <c r="AJ25" s="127"/>
      <c r="AK25" s="127"/>
      <c r="AL25" s="127"/>
      <c r="AM25" s="127"/>
      <c r="AN25" s="127"/>
      <c r="AO25" s="127"/>
      <c r="AP25" s="127"/>
      <c r="AQ25" s="127"/>
      <c r="AR25" s="127"/>
      <c r="AS25" s="127"/>
      <c r="AT25" s="127"/>
      <c r="AU25" s="127"/>
      <c r="AV25" s="127"/>
      <c r="AW25" s="127"/>
      <c r="AX25" s="127"/>
      <c r="AY25" s="127"/>
      <c r="AZ25" s="127"/>
      <c r="BA25" s="127"/>
      <c r="BB25" s="127"/>
    </row>
    <row r="26" customFormat="false" ht="12.8" hidden="false" customHeight="false" outlineLevel="3" collapsed="false">
      <c r="C26" s="51" t="n">
        <v>4</v>
      </c>
      <c r="D26" s="118" t="s">
        <v>246</v>
      </c>
      <c r="H26" s="53" t="s">
        <v>247</v>
      </c>
      <c r="P26" s="119" t="n">
        <v>43928</v>
      </c>
      <c r="Q26" s="119" t="n">
        <v>43931</v>
      </c>
      <c r="S26" s="120" t="n">
        <v>8</v>
      </c>
      <c r="T26" s="120" t="n">
        <v>8</v>
      </c>
      <c r="U26" s="121" t="n">
        <v>8</v>
      </c>
      <c r="V26" s="121" t="n">
        <v>8</v>
      </c>
      <c r="W26" s="119" t="n">
        <v>43710</v>
      </c>
      <c r="X26" s="119" t="n">
        <v>43733</v>
      </c>
      <c r="Y26" s="122" t="n">
        <v>16</v>
      </c>
      <c r="Z26" s="123" t="n">
        <v>16</v>
      </c>
      <c r="AA26" s="59" t="n">
        <v>1</v>
      </c>
      <c r="AB26" s="53" t="s">
        <v>203</v>
      </c>
      <c r="AD26" s="124" t="n">
        <v>1</v>
      </c>
      <c r="AE26" s="125" t="n">
        <v>1</v>
      </c>
      <c r="AF26" s="126"/>
      <c r="AG26" s="127"/>
      <c r="AH26" s="127"/>
      <c r="AI26" s="127" t="str">
        <f aca="false">"  " &amp; TEXT(AE26,"#0.00%") &amp; " " &amp; "프로세스모델링" &amp; " " &amp; IF(P26="","",TEXT(P26,"M/D-")) &amp; IF(Q26="","",TEXT(Q26,"M/D")) &amp; " "</f>
        <v>  100.00% 프로세스모델링 4/7-4/10 </v>
      </c>
      <c r="AJ26" s="127"/>
      <c r="AK26" s="127"/>
      <c r="AL26" s="127"/>
      <c r="AM26" s="127"/>
      <c r="AN26" s="127"/>
      <c r="AO26" s="127"/>
      <c r="AP26" s="127"/>
      <c r="AQ26" s="127"/>
      <c r="AR26" s="127"/>
      <c r="AS26" s="127"/>
      <c r="AT26" s="127"/>
      <c r="AU26" s="127"/>
      <c r="AV26" s="127"/>
      <c r="AW26" s="127"/>
      <c r="AX26" s="127"/>
      <c r="AY26" s="127"/>
      <c r="AZ26" s="127"/>
      <c r="BA26" s="127"/>
      <c r="BB26" s="127"/>
    </row>
    <row r="27" customFormat="false" ht="12.8" hidden="false" customHeight="false" outlineLevel="3" collapsed="false">
      <c r="C27" s="51" t="n">
        <v>4</v>
      </c>
      <c r="D27" s="118" t="s">
        <v>248</v>
      </c>
      <c r="H27" s="53" t="s">
        <v>249</v>
      </c>
      <c r="P27" s="119" t="n">
        <v>43931</v>
      </c>
      <c r="Q27" s="119" t="n">
        <v>43933</v>
      </c>
      <c r="S27" s="120" t="n">
        <v>8</v>
      </c>
      <c r="T27" s="120" t="n">
        <v>8</v>
      </c>
      <c r="U27" s="121" t="n">
        <v>8</v>
      </c>
      <c r="V27" s="121" t="n">
        <v>8</v>
      </c>
      <c r="W27" s="119" t="n">
        <v>43706</v>
      </c>
      <c r="X27" s="119"/>
      <c r="Y27" s="122" t="n">
        <v>-31211</v>
      </c>
      <c r="Z27" s="123" t="n">
        <v>0</v>
      </c>
      <c r="AA27" s="59" t="n">
        <v>1</v>
      </c>
      <c r="AB27" s="53" t="s">
        <v>250</v>
      </c>
      <c r="AD27" s="124" t="n">
        <v>1</v>
      </c>
      <c r="AE27" s="125" t="n">
        <v>0.45</v>
      </c>
      <c r="AF27" s="126"/>
      <c r="AG27" s="127"/>
      <c r="AH27" s="127" t="str">
        <f aca="false">"  " &amp; TEXT(AE27,"#0.00%") &amp; " " &amp; "데이터모델링" &amp; " " &amp; IF(P27="","",TEXT(P27,"M/D-")) &amp; IF(Q27="","",TEXT(Q27,"M/D")) &amp; " "</f>
        <v>  45.00% 데이터모델링 4/10-4/12 </v>
      </c>
      <c r="AI27" s="127"/>
      <c r="AJ27" s="127"/>
      <c r="AK27" s="127"/>
      <c r="AL27" s="127"/>
      <c r="AM27" s="127"/>
      <c r="AN27" s="127"/>
      <c r="AO27" s="127"/>
      <c r="AP27" s="127"/>
      <c r="AQ27" s="127"/>
      <c r="AR27" s="127"/>
      <c r="AS27" s="127"/>
      <c r="AT27" s="127"/>
      <c r="AU27" s="127"/>
      <c r="AV27" s="127"/>
      <c r="AW27" s="127"/>
      <c r="AX27" s="127"/>
      <c r="AY27" s="127"/>
      <c r="AZ27" s="127"/>
      <c r="BA27" s="127"/>
      <c r="BB27" s="127"/>
    </row>
    <row r="28" customFormat="false" ht="12.8" hidden="false" customHeight="false" outlineLevel="1" collapsed="false">
      <c r="B28" s="117" t="s">
        <v>200</v>
      </c>
      <c r="C28" s="51" t="n">
        <v>2</v>
      </c>
      <c r="D28" s="118" t="s">
        <v>251</v>
      </c>
      <c r="F28" s="53" t="s">
        <v>252</v>
      </c>
      <c r="P28" s="119" t="n">
        <v>43933</v>
      </c>
      <c r="Q28" s="119" t="n">
        <v>43941</v>
      </c>
      <c r="S28" s="120" t="n">
        <v>40</v>
      </c>
      <c r="T28" s="120" t="n">
        <v>17</v>
      </c>
      <c r="U28" s="121" t="n">
        <v>24</v>
      </c>
      <c r="V28" s="121" t="n">
        <v>9</v>
      </c>
      <c r="W28" s="119"/>
      <c r="X28" s="119"/>
      <c r="Y28" s="122" t="n">
        <v>0</v>
      </c>
      <c r="Z28" s="123" t="n">
        <v>0</v>
      </c>
      <c r="AD28" s="124" t="n">
        <v>0.425</v>
      </c>
      <c r="AE28" s="125" t="n">
        <v>0</v>
      </c>
      <c r="AF28" s="126"/>
      <c r="AG28" s="127"/>
      <c r="AH28" s="127"/>
      <c r="AI28" s="127" t="str">
        <f aca="false">"    " &amp; TEXT(AE28,"#0.00%") &amp; " "</f>
        <v>    0.00% </v>
      </c>
      <c r="AJ28" s="127"/>
      <c r="AK28" s="127"/>
      <c r="AL28" s="127"/>
      <c r="AM28" s="127"/>
      <c r="AN28" s="127"/>
      <c r="AO28" s="127" t="str">
        <f aca="false">"  " &amp; "설계" &amp; " " &amp; IF(P28="","",TEXT(P28,"M/D-")) &amp; IF(Q28="","",TEXT(Q28,"M/D")) &amp; " "</f>
        <v>  설계 4/12-4/20 </v>
      </c>
      <c r="AP28" s="127"/>
      <c r="AQ28" s="127"/>
      <c r="AR28" s="127"/>
      <c r="AS28" s="127"/>
      <c r="AT28" s="127"/>
      <c r="AU28" s="127"/>
      <c r="AV28" s="127"/>
      <c r="AW28" s="127"/>
      <c r="AX28" s="127"/>
      <c r="AY28" s="127"/>
      <c r="AZ28" s="127"/>
      <c r="BA28" s="127"/>
      <c r="BB28" s="127"/>
    </row>
    <row r="29" customFormat="false" ht="12.8" hidden="false" customHeight="false" outlineLevel="2" collapsed="false">
      <c r="C29" s="51" t="n">
        <v>3</v>
      </c>
      <c r="D29" s="118" t="s">
        <v>253</v>
      </c>
      <c r="G29" s="129" t="s">
        <v>254</v>
      </c>
      <c r="P29" s="119" t="n">
        <v>43934</v>
      </c>
      <c r="Q29" s="119" t="n">
        <v>43936</v>
      </c>
      <c r="S29" s="120" t="n">
        <v>11</v>
      </c>
      <c r="T29" s="120" t="n">
        <v>9</v>
      </c>
      <c r="U29" s="121" t="n">
        <v>11</v>
      </c>
      <c r="V29" s="121" t="n">
        <v>9</v>
      </c>
      <c r="W29" s="119"/>
      <c r="X29" s="119"/>
      <c r="Y29" s="122"/>
      <c r="Z29" s="123" t="n">
        <v>0</v>
      </c>
      <c r="AA29" s="59" t="n">
        <v>1</v>
      </c>
      <c r="AB29" s="53" t="s">
        <v>255</v>
      </c>
      <c r="AD29" s="124" t="n">
        <v>0.818181818181818</v>
      </c>
      <c r="AE29" s="125" t="n">
        <v>0</v>
      </c>
      <c r="AF29" s="126"/>
      <c r="AG29" s="127"/>
      <c r="AH29" s="127"/>
      <c r="AI29" s="127" t="str">
        <f aca="false">"    " &amp; TEXT(AE29,"#0.00%") &amp; " " &amp; "UI 설계" &amp; " " &amp; IF(P29="","",TEXT(P29,"M/D-")) &amp; IF(Q29="","",TEXT(Q29,"M/D")) &amp; " "</f>
        <v>    0.00% UI 설계 4/13-4/15 </v>
      </c>
      <c r="AJ29" s="127"/>
      <c r="AK29" s="127"/>
      <c r="AL29" s="127"/>
      <c r="AM29" s="127"/>
      <c r="AN29" s="127"/>
      <c r="AO29" s="127"/>
      <c r="AP29" s="127"/>
      <c r="AQ29" s="127"/>
      <c r="AR29" s="127"/>
      <c r="AS29" s="127"/>
      <c r="AT29" s="127"/>
      <c r="AU29" s="127"/>
      <c r="AV29" s="127"/>
      <c r="AW29" s="127"/>
      <c r="AX29" s="127"/>
      <c r="AY29" s="127"/>
      <c r="AZ29" s="127"/>
      <c r="BA29" s="127"/>
      <c r="BB29" s="127"/>
    </row>
    <row r="30" customFormat="false" ht="12.8" hidden="false" customHeight="false" outlineLevel="2" collapsed="false">
      <c r="B30" s="117" t="s">
        <v>200</v>
      </c>
      <c r="C30" s="51" t="n">
        <v>3</v>
      </c>
      <c r="D30" s="118" t="s">
        <v>256</v>
      </c>
      <c r="G30" s="53" t="s">
        <v>257</v>
      </c>
      <c r="P30" s="119" t="n">
        <v>43936</v>
      </c>
      <c r="Q30" s="119" t="n">
        <v>43941</v>
      </c>
      <c r="S30" s="120" t="n">
        <v>26</v>
      </c>
      <c r="T30" s="120" t="n">
        <v>8</v>
      </c>
      <c r="U30" s="121" t="n">
        <v>16</v>
      </c>
      <c r="V30" s="121" t="n">
        <v>6</v>
      </c>
      <c r="W30" s="119"/>
      <c r="X30" s="119"/>
      <c r="Y30" s="122" t="n">
        <v>0</v>
      </c>
      <c r="Z30" s="123" t="n">
        <v>0</v>
      </c>
      <c r="AB30" s="53" t="s">
        <v>250</v>
      </c>
      <c r="AD30" s="124" t="n">
        <v>0.307692307692308</v>
      </c>
      <c r="AE30" s="125" t="n">
        <v>0</v>
      </c>
      <c r="AF30" s="126"/>
      <c r="AG30" s="127"/>
      <c r="AH30" s="127"/>
      <c r="AI30" s="127"/>
      <c r="AJ30" s="127" t="str">
        <f aca="false">"    " &amp; TEXT(AE30,"#0.00%") &amp; " "</f>
        <v>    0.00% </v>
      </c>
      <c r="AK30" s="127"/>
      <c r="AL30" s="127"/>
      <c r="AM30" s="127"/>
      <c r="AN30" s="127" t="str">
        <f aca="false">"  " &amp; "시스템 설계" &amp; " " &amp; IF(P30="","",TEXT(P30,"M/D-")) &amp; IF(Q30="","",TEXT(Q30,"M/D")) &amp; " "</f>
        <v>  시스템 설계 4/15-4/20 </v>
      </c>
      <c r="AO30" s="127"/>
      <c r="AP30" s="127"/>
      <c r="AQ30" s="127"/>
      <c r="AR30" s="127"/>
      <c r="AS30" s="127"/>
      <c r="AT30" s="127"/>
      <c r="AU30" s="127"/>
      <c r="AV30" s="127"/>
      <c r="AW30" s="127"/>
      <c r="AX30" s="127"/>
      <c r="AY30" s="127"/>
      <c r="AZ30" s="127"/>
      <c r="BA30" s="127"/>
      <c r="BB30" s="127"/>
    </row>
    <row r="31" customFormat="false" ht="12.8" hidden="false" customHeight="false" outlineLevel="3" collapsed="false">
      <c r="C31" s="51" t="n">
        <v>4</v>
      </c>
      <c r="D31" s="118" t="s">
        <v>258</v>
      </c>
      <c r="H31" s="129" t="s">
        <v>259</v>
      </c>
      <c r="P31" s="119" t="n">
        <v>43937</v>
      </c>
      <c r="Q31" s="119" t="n">
        <v>43938</v>
      </c>
      <c r="S31" s="120" t="n">
        <v>8</v>
      </c>
      <c r="T31" s="120" t="n">
        <v>6</v>
      </c>
      <c r="U31" s="121" t="n">
        <v>8</v>
      </c>
      <c r="V31" s="121" t="n">
        <v>6</v>
      </c>
      <c r="W31" s="119"/>
      <c r="X31" s="119"/>
      <c r="Y31" s="122"/>
      <c r="Z31" s="123" t="n">
        <v>0</v>
      </c>
      <c r="AA31" s="59" t="n">
        <v>1</v>
      </c>
      <c r="AD31" s="124" t="n">
        <v>0.75</v>
      </c>
      <c r="AE31" s="125" t="n">
        <v>0</v>
      </c>
      <c r="AF31" s="126"/>
      <c r="AG31" s="127"/>
      <c r="AH31" s="127"/>
      <c r="AI31" s="127"/>
      <c r="AJ31" s="127" t="str">
        <f aca="false">"    " &amp; TEXT(AE31,"#0.00%") &amp; " " &amp; "Architecture설계" &amp; " " &amp; IF(P31="","",TEXT(P31,"M/D-")) &amp; IF(Q31="","",TEXT(Q31,"M/D")) &amp; " "</f>
        <v>    0.00% Architecture설계 4/16-4/17 </v>
      </c>
      <c r="AK31" s="127"/>
      <c r="AL31" s="127"/>
      <c r="AM31" s="127"/>
      <c r="AN31" s="127"/>
      <c r="AO31" s="127"/>
      <c r="AP31" s="127"/>
      <c r="AQ31" s="127"/>
      <c r="AR31" s="127"/>
      <c r="AS31" s="127"/>
      <c r="AT31" s="127"/>
      <c r="AU31" s="127"/>
      <c r="AV31" s="127"/>
      <c r="AW31" s="127"/>
      <c r="AX31" s="127"/>
      <c r="AY31" s="127"/>
      <c r="AZ31" s="127"/>
      <c r="BA31" s="127"/>
      <c r="BB31" s="127"/>
    </row>
    <row r="32" customFormat="false" ht="12.8" hidden="false" customHeight="false" outlineLevel="3" collapsed="false">
      <c r="C32" s="51" t="n">
        <v>4</v>
      </c>
      <c r="D32" s="118" t="s">
        <v>260</v>
      </c>
      <c r="H32" s="53" t="s">
        <v>261</v>
      </c>
      <c r="P32" s="119" t="n">
        <v>43938</v>
      </c>
      <c r="Q32" s="119" t="n">
        <v>43939</v>
      </c>
      <c r="S32" s="120" t="n">
        <v>7</v>
      </c>
      <c r="T32" s="120" t="n">
        <v>1</v>
      </c>
      <c r="U32" s="121" t="n">
        <v>7</v>
      </c>
      <c r="V32" s="121" t="n">
        <v>1</v>
      </c>
      <c r="W32" s="119"/>
      <c r="X32" s="119"/>
      <c r="Y32" s="122"/>
      <c r="Z32" s="123" t="n">
        <v>0</v>
      </c>
      <c r="AA32" s="59" t="n">
        <v>1</v>
      </c>
      <c r="AB32" s="53" t="s">
        <v>250</v>
      </c>
      <c r="AD32" s="124" t="n">
        <v>0.142857142857143</v>
      </c>
      <c r="AE32" s="125" t="n">
        <v>0</v>
      </c>
      <c r="AF32" s="126"/>
      <c r="AG32" s="127"/>
      <c r="AH32" s="127"/>
      <c r="AI32" s="127"/>
      <c r="AJ32" s="127"/>
      <c r="AK32" s="127" t="str">
        <f aca="false">"    " &amp; TEXT(AE32,"#0.00%") &amp; " " &amp; "데이터베이스설계" &amp; " " &amp; IF(P32="","",TEXT(P32,"M/D-")) &amp; IF(Q32="","",TEXT(Q32,"M/D")) &amp; " "</f>
        <v>    0.00% 데이터베이스설계 4/17-4/18 </v>
      </c>
      <c r="AL32" s="127"/>
      <c r="AM32" s="127"/>
      <c r="AN32" s="127"/>
      <c r="AO32" s="127"/>
      <c r="AP32" s="127"/>
      <c r="AQ32" s="127"/>
      <c r="AR32" s="127"/>
      <c r="AS32" s="127"/>
      <c r="AT32" s="127"/>
      <c r="AU32" s="127"/>
      <c r="AV32" s="127"/>
      <c r="AW32" s="127"/>
      <c r="AX32" s="127"/>
      <c r="AY32" s="127"/>
      <c r="AZ32" s="127"/>
      <c r="BA32" s="127"/>
      <c r="BB32" s="127"/>
    </row>
    <row r="33" customFormat="false" ht="12.8" hidden="false" customHeight="false" outlineLevel="3" collapsed="false">
      <c r="C33" s="51" t="n">
        <v>4</v>
      </c>
      <c r="D33" s="118" t="s">
        <v>262</v>
      </c>
      <c r="H33" s="53" t="s">
        <v>263</v>
      </c>
      <c r="P33" s="119" t="n">
        <v>43939</v>
      </c>
      <c r="Q33" s="119" t="n">
        <v>43940</v>
      </c>
      <c r="S33" s="120" t="n">
        <v>11</v>
      </c>
      <c r="T33" s="120" t="n">
        <v>1</v>
      </c>
      <c r="U33" s="121" t="n">
        <v>11</v>
      </c>
      <c r="V33" s="121" t="n">
        <v>1</v>
      </c>
      <c r="W33" s="119"/>
      <c r="X33" s="119"/>
      <c r="Y33" s="122"/>
      <c r="Z33" s="123" t="n">
        <v>0</v>
      </c>
      <c r="AA33" s="59" t="n">
        <v>1</v>
      </c>
      <c r="AD33" s="124" t="n">
        <v>0.0909090909090909</v>
      </c>
      <c r="AE33" s="125" t="n">
        <v>0</v>
      </c>
      <c r="AF33" s="126"/>
      <c r="AG33" s="127"/>
      <c r="AH33" s="127"/>
      <c r="AI33" s="127"/>
      <c r="AJ33" s="127"/>
      <c r="AK33" s="127" t="str">
        <f aca="false">"    " &amp; TEXT(AE33,"#0.00%") &amp; " " &amp; "프로그램설계" &amp; " " &amp; IF(P33="","",TEXT(P33,"M/D-")) &amp; IF(Q33="","",TEXT(Q33,"M/D")) &amp; " "</f>
        <v>    0.00% 프로그램설계 4/18-4/19 </v>
      </c>
      <c r="AL33" s="127"/>
      <c r="AM33" s="127"/>
      <c r="AN33" s="127"/>
      <c r="AO33" s="127"/>
      <c r="AP33" s="127"/>
      <c r="AQ33" s="127"/>
      <c r="AR33" s="127"/>
      <c r="AS33" s="127"/>
      <c r="AT33" s="127"/>
      <c r="AU33" s="127"/>
      <c r="AV33" s="127"/>
      <c r="AW33" s="127"/>
      <c r="AX33" s="127"/>
      <c r="AY33" s="127"/>
      <c r="AZ33" s="127"/>
      <c r="BA33" s="127"/>
      <c r="BB33" s="127"/>
    </row>
    <row r="34" customFormat="false" ht="12.8" hidden="false" customHeight="false" outlineLevel="2" collapsed="false">
      <c r="C34" s="51" t="n">
        <v>3</v>
      </c>
      <c r="D34" s="118" t="s">
        <v>264</v>
      </c>
      <c r="G34" s="53" t="s">
        <v>265</v>
      </c>
      <c r="P34" s="119" t="n">
        <v>43940</v>
      </c>
      <c r="Q34" s="119" t="n">
        <v>43941</v>
      </c>
      <c r="S34" s="120" t="n">
        <v>3</v>
      </c>
      <c r="T34" s="120" t="n">
        <v>0</v>
      </c>
      <c r="U34" s="121" t="n">
        <v>3</v>
      </c>
      <c r="V34" s="121" t="n">
        <v>0</v>
      </c>
      <c r="W34" s="119"/>
      <c r="X34" s="119"/>
      <c r="Y34" s="122"/>
      <c r="Z34" s="123" t="n">
        <v>0</v>
      </c>
      <c r="AA34" s="59" t="n">
        <v>1</v>
      </c>
      <c r="AD34" s="124" t="n">
        <v>0</v>
      </c>
      <c r="AE34" s="125" t="n">
        <v>0</v>
      </c>
      <c r="AF34" s="126"/>
      <c r="AG34" s="127"/>
      <c r="AH34" s="127"/>
      <c r="AI34" s="127"/>
      <c r="AJ34" s="127"/>
      <c r="AK34" s="127"/>
      <c r="AL34" s="127"/>
      <c r="AM34" s="127"/>
      <c r="AN34" s="127" t="str">
        <f aca="false">"    " &amp; TEXT(AE34,"#0.00%") &amp; " " &amp; "테스트 설계" &amp; " " &amp; IF(P34="","",TEXT(P34,"M/D-")) &amp; IF(Q34="","",TEXT(Q34,"M/D")) &amp; " "</f>
        <v>    0.00% 테스트 설계 4/19-4/20 </v>
      </c>
      <c r="AO34" s="127"/>
      <c r="AP34" s="127"/>
      <c r="AQ34" s="127"/>
      <c r="AR34" s="127"/>
      <c r="AS34" s="127"/>
      <c r="AT34" s="127"/>
      <c r="AU34" s="127"/>
      <c r="AV34" s="127"/>
      <c r="AW34" s="127"/>
      <c r="AX34" s="127"/>
      <c r="AY34" s="127"/>
      <c r="AZ34" s="127"/>
      <c r="BA34" s="127"/>
      <c r="BB34" s="127"/>
    </row>
    <row r="35" customFormat="false" ht="12.8" hidden="false" customHeight="false" outlineLevel="1" collapsed="false">
      <c r="B35" s="117" t="s">
        <v>200</v>
      </c>
      <c r="C35" s="51" t="n">
        <v>2</v>
      </c>
      <c r="D35" s="118" t="s">
        <v>266</v>
      </c>
      <c r="F35" s="53" t="s">
        <v>267</v>
      </c>
      <c r="P35" s="119" t="n">
        <v>43941</v>
      </c>
      <c r="Q35" s="119" t="n">
        <v>43981</v>
      </c>
      <c r="S35" s="120" t="n">
        <v>149</v>
      </c>
      <c r="T35" s="120" t="n">
        <v>0</v>
      </c>
      <c r="U35" s="121" t="n">
        <v>48</v>
      </c>
      <c r="V35" s="121" t="n">
        <v>0</v>
      </c>
      <c r="W35" s="119"/>
      <c r="X35" s="119"/>
      <c r="Y35" s="122" t="n">
        <v>0</v>
      </c>
      <c r="Z35" s="123" t="n">
        <v>0</v>
      </c>
      <c r="AD35" s="124" t="n">
        <v>0</v>
      </c>
      <c r="AE35" s="125" t="n">
        <v>0</v>
      </c>
      <c r="AF35" s="126"/>
      <c r="AG35" s="127"/>
      <c r="AH35" s="127"/>
      <c r="AI35" s="127"/>
      <c r="AJ35" s="127"/>
      <c r="AK35" s="127"/>
      <c r="AL35" s="127"/>
      <c r="AM35" s="127"/>
      <c r="AN35" s="127" t="str">
        <f aca="false">"    " &amp; TEXT(AE35,"#0.00%") &amp; " "</f>
        <v>    0.00% </v>
      </c>
      <c r="AO35" s="127"/>
      <c r="AP35" s="127"/>
      <c r="AQ35" s="127"/>
      <c r="AR35" s="127"/>
      <c r="AS35" s="127"/>
      <c r="AT35" s="127"/>
      <c r="AU35" s="127"/>
      <c r="AV35" s="127"/>
      <c r="AW35" s="127"/>
      <c r="AX35" s="127" t="str">
        <f aca="false">"  " &amp; "개발" &amp; " " &amp; IF(P35="","",TEXT(P35,"M/D-")) &amp; IF(Q35="","",TEXT(Q35,"M/D")) &amp; " "</f>
        <v>  개발 4/20-5/30 </v>
      </c>
      <c r="AY35" s="127"/>
      <c r="AZ35" s="127"/>
      <c r="BA35" s="127"/>
      <c r="BB35" s="127"/>
    </row>
    <row r="36" customFormat="false" ht="12.8" hidden="false" customHeight="false" outlineLevel="2" collapsed="false">
      <c r="B36" s="117" t="s">
        <v>200</v>
      </c>
      <c r="C36" s="51" t="n">
        <v>3</v>
      </c>
      <c r="D36" s="118" t="s">
        <v>268</v>
      </c>
      <c r="G36" s="53" t="s">
        <v>269</v>
      </c>
      <c r="P36" s="119" t="n">
        <v>43942</v>
      </c>
      <c r="Q36" s="119" t="n">
        <v>43975</v>
      </c>
      <c r="S36" s="120" t="n">
        <v>133</v>
      </c>
      <c r="T36" s="120" t="n">
        <v>0</v>
      </c>
      <c r="U36" s="121" t="n">
        <v>42</v>
      </c>
      <c r="V36" s="121" t="n">
        <v>0</v>
      </c>
      <c r="W36" s="119"/>
      <c r="X36" s="119"/>
      <c r="Y36" s="122" t="n">
        <v>0</v>
      </c>
      <c r="Z36" s="123" t="n">
        <v>0</v>
      </c>
      <c r="AD36" s="124" t="n">
        <v>0</v>
      </c>
      <c r="AE36" s="125" t="n">
        <v>0</v>
      </c>
      <c r="AF36" s="126"/>
      <c r="AG36" s="127"/>
      <c r="AH36" s="127"/>
      <c r="AI36" s="127"/>
      <c r="AJ36" s="127"/>
      <c r="AK36" s="127"/>
      <c r="AL36" s="127"/>
      <c r="AM36" s="127"/>
      <c r="AN36" s="127" t="str">
        <f aca="false">"    " &amp; TEXT(AE36,"#0.00%") &amp; " "</f>
        <v>    0.00% </v>
      </c>
      <c r="AO36" s="127"/>
      <c r="AP36" s="127"/>
      <c r="AQ36" s="127"/>
      <c r="AR36" s="127"/>
      <c r="AS36" s="127"/>
      <c r="AT36" s="127"/>
      <c r="AU36" s="127"/>
      <c r="AV36" s="127"/>
      <c r="AW36" s="127" t="str">
        <f aca="false">" " &amp; "프로그램 개발" &amp; " " &amp; IF(P36="","",TEXT(P36,"M/D-")) &amp; IF(Q36="","",TEXT(Q36,"M/D")) &amp; " "</f>
        <v> 프로그램 개발 4/21-5/24 </v>
      </c>
      <c r="AX36" s="127"/>
      <c r="AY36" s="127"/>
      <c r="AZ36" s="127"/>
      <c r="BA36" s="127"/>
      <c r="BB36" s="127"/>
    </row>
    <row r="37" customFormat="false" ht="12.8" hidden="false" customHeight="false" outlineLevel="3" collapsed="false">
      <c r="C37" s="51" t="n">
        <v>4</v>
      </c>
      <c r="D37" s="118" t="s">
        <v>270</v>
      </c>
      <c r="H37" s="53" t="s">
        <v>271</v>
      </c>
      <c r="P37" s="119" t="n">
        <v>43943</v>
      </c>
      <c r="Q37" s="119" t="n">
        <v>43945</v>
      </c>
      <c r="S37" s="120" t="n">
        <v>3</v>
      </c>
      <c r="T37" s="120" t="n">
        <v>0</v>
      </c>
      <c r="U37" s="121" t="n">
        <v>3</v>
      </c>
      <c r="V37" s="121" t="n">
        <v>0</v>
      </c>
      <c r="W37" s="119"/>
      <c r="X37" s="119"/>
      <c r="Y37" s="122"/>
      <c r="Z37" s="123" t="n">
        <v>0</v>
      </c>
      <c r="AA37" s="59" t="n">
        <v>1</v>
      </c>
      <c r="AB37" s="53" t="s">
        <v>272</v>
      </c>
      <c r="AD37" s="124" t="n">
        <v>0</v>
      </c>
      <c r="AE37" s="125" t="n">
        <v>0</v>
      </c>
      <c r="AF37" s="126"/>
      <c r="AG37" s="127"/>
      <c r="AH37" s="127"/>
      <c r="AI37" s="127"/>
      <c r="AJ37" s="127"/>
      <c r="AK37" s="127"/>
      <c r="AL37" s="127"/>
      <c r="AM37" s="127"/>
      <c r="AN37" s="127" t="str">
        <f aca="false">"    " &amp; TEXT(AE37,"#0.00%") &amp; " " &amp; "단위테스트시나리오작성" &amp; " " &amp; IF(P37="","",TEXT(P37,"M/D-")) &amp; IF(Q37="","",TEXT(Q37,"M/D")) &amp; " "</f>
        <v>    0.00% 단위테스트시나리오작성 4/22-4/24 </v>
      </c>
      <c r="AO37" s="127"/>
      <c r="AP37" s="127"/>
      <c r="AQ37" s="127"/>
      <c r="AR37" s="127"/>
      <c r="AS37" s="127"/>
      <c r="AT37" s="127"/>
      <c r="AU37" s="127"/>
      <c r="AV37" s="127"/>
      <c r="AW37" s="127"/>
      <c r="AX37" s="127"/>
      <c r="AY37" s="127"/>
      <c r="AZ37" s="127"/>
      <c r="BA37" s="127"/>
      <c r="BB37" s="127"/>
    </row>
    <row r="38" customFormat="false" ht="12.8" hidden="false" customHeight="false" outlineLevel="3" collapsed="false">
      <c r="B38" s="117" t="s">
        <v>200</v>
      </c>
      <c r="C38" s="51" t="n">
        <v>4</v>
      </c>
      <c r="D38" s="118" t="s">
        <v>273</v>
      </c>
      <c r="H38" s="53" t="s">
        <v>274</v>
      </c>
      <c r="P38" s="119" t="n">
        <v>43945</v>
      </c>
      <c r="Q38" s="119" t="n">
        <v>43975</v>
      </c>
      <c r="S38" s="120" t="n">
        <v>130</v>
      </c>
      <c r="T38" s="120" t="n">
        <v>0</v>
      </c>
      <c r="U38" s="121" t="n">
        <v>42</v>
      </c>
      <c r="V38" s="121" t="n">
        <v>0</v>
      </c>
      <c r="W38" s="119"/>
      <c r="X38" s="119"/>
      <c r="Y38" s="122" t="n">
        <v>0</v>
      </c>
      <c r="Z38" s="123" t="n">
        <v>0</v>
      </c>
      <c r="AD38" s="124" t="n">
        <v>0</v>
      </c>
      <c r="AE38" s="125" t="n">
        <v>0</v>
      </c>
      <c r="AF38" s="126"/>
      <c r="AG38" s="127"/>
      <c r="AH38" s="127"/>
      <c r="AI38" s="127"/>
      <c r="AJ38" s="127"/>
      <c r="AK38" s="127"/>
      <c r="AL38" s="127"/>
      <c r="AM38" s="127"/>
      <c r="AN38" s="127" t="str">
        <f aca="false">"    " &amp; TEXT(AE38,"#0.00%") &amp; " "</f>
        <v>    0.00% </v>
      </c>
      <c r="AO38" s="127"/>
      <c r="AP38" s="127"/>
      <c r="AQ38" s="127"/>
      <c r="AR38" s="127"/>
      <c r="AS38" s="127"/>
      <c r="AT38" s="127"/>
      <c r="AU38" s="127"/>
      <c r="AV38" s="127"/>
      <c r="AW38" s="127" t="str">
        <f aca="false">" " &amp; "프로그램코딩 및 단위테스트" &amp; " " &amp; IF(P38="","",TEXT(P38,"M/D-")) &amp; IF(Q38="","",TEXT(Q38,"M/D")) &amp; " "</f>
        <v> 프로그램코딩 및 단위테스트 4/24-5/24 </v>
      </c>
      <c r="AX38" s="127"/>
      <c r="AY38" s="127"/>
      <c r="AZ38" s="127"/>
      <c r="BA38" s="127"/>
      <c r="BB38" s="127"/>
    </row>
    <row r="39" customFormat="false" ht="12.8" hidden="false" customHeight="false" outlineLevel="4" collapsed="false">
      <c r="B39" s="117" t="s">
        <v>200</v>
      </c>
      <c r="C39" s="51" t="n">
        <v>5</v>
      </c>
      <c r="D39" s="118" t="s">
        <v>275</v>
      </c>
      <c r="I39" s="53" t="s">
        <v>276</v>
      </c>
      <c r="P39" s="119" t="n">
        <v>43946</v>
      </c>
      <c r="Q39" s="119" t="n">
        <v>43949</v>
      </c>
      <c r="S39" s="120" t="n">
        <v>14</v>
      </c>
      <c r="T39" s="120" t="n">
        <v>0</v>
      </c>
      <c r="U39" s="121" t="n">
        <v>13</v>
      </c>
      <c r="V39" s="121" t="n">
        <v>0</v>
      </c>
      <c r="W39" s="119"/>
      <c r="X39" s="119"/>
      <c r="Y39" s="122" t="n">
        <v>0</v>
      </c>
      <c r="Z39" s="123" t="n">
        <v>0</v>
      </c>
      <c r="AD39" s="124" t="n">
        <v>0</v>
      </c>
      <c r="AE39" s="125" t="n">
        <v>0</v>
      </c>
      <c r="AF39" s="126"/>
      <c r="AG39" s="127"/>
      <c r="AH39" s="127"/>
      <c r="AI39" s="127"/>
      <c r="AJ39" s="127"/>
      <c r="AK39" s="127"/>
      <c r="AL39" s="127"/>
      <c r="AM39" s="127"/>
      <c r="AN39" s="127" t="str">
        <f aca="false">"    " &amp; TEXT(AE39,"#0.00%") &amp; " " &amp; "모듈A" &amp; " " &amp; IF(P39="","",TEXT(P39,"M/D-")) &amp; IF(Q39="","",TEXT(Q39,"M/D")) &amp; " "</f>
        <v>    0.00% 모듈A 4/25-4/28 </v>
      </c>
      <c r="AO39" s="127"/>
      <c r="AP39" s="127"/>
      <c r="AQ39" s="127"/>
      <c r="AR39" s="127"/>
      <c r="AS39" s="127"/>
      <c r="AT39" s="127"/>
      <c r="AU39" s="127"/>
      <c r="AV39" s="127"/>
      <c r="AW39" s="127"/>
      <c r="AX39" s="127"/>
      <c r="AY39" s="127"/>
      <c r="AZ39" s="127"/>
      <c r="BA39" s="127"/>
      <c r="BB39" s="127"/>
    </row>
    <row r="40" customFormat="false" ht="12.8" hidden="false" customHeight="false" outlineLevel="5" collapsed="false">
      <c r="C40" s="51" t="n">
        <v>6</v>
      </c>
      <c r="D40" s="118" t="s">
        <v>277</v>
      </c>
      <c r="J40" s="53" t="s">
        <v>278</v>
      </c>
      <c r="P40" s="119" t="n">
        <v>43949</v>
      </c>
      <c r="Q40" s="119" t="n">
        <v>43951</v>
      </c>
      <c r="S40" s="120" t="n">
        <v>3</v>
      </c>
      <c r="T40" s="120" t="n">
        <v>0</v>
      </c>
      <c r="U40" s="121" t="n">
        <v>3</v>
      </c>
      <c r="V40" s="121" t="n">
        <v>0</v>
      </c>
      <c r="W40" s="119"/>
      <c r="X40" s="119"/>
      <c r="Y40" s="122"/>
      <c r="Z40" s="123" t="n">
        <v>0</v>
      </c>
      <c r="AA40" s="59" t="n">
        <v>1</v>
      </c>
      <c r="AB40" s="53" t="s">
        <v>228</v>
      </c>
      <c r="AD40" s="124" t="n">
        <v>0</v>
      </c>
      <c r="AE40" s="125" t="n">
        <v>0</v>
      </c>
      <c r="AF40" s="126"/>
      <c r="AG40" s="127"/>
      <c r="AH40" s="127"/>
      <c r="AI40" s="127"/>
      <c r="AJ40" s="127"/>
      <c r="AK40" s="127"/>
      <c r="AL40" s="127"/>
      <c r="AM40" s="127"/>
      <c r="AN40" s="127" t="str">
        <f aca="false">"    " &amp; TEXT(AE40,"#0.00%") &amp; " " &amp; "프로그램A" &amp; " " &amp; IF(P40="","",TEXT(P40,"M/D-")) &amp; IF(Q40="","",TEXT(Q40,"M/D")) &amp; " "</f>
        <v>    0.00% 프로그램A 4/28-4/30 </v>
      </c>
      <c r="AO40" s="127"/>
      <c r="AP40" s="127"/>
      <c r="AQ40" s="127"/>
      <c r="AR40" s="127"/>
      <c r="AS40" s="127"/>
      <c r="AT40" s="127"/>
      <c r="AU40" s="127"/>
      <c r="AV40" s="127"/>
      <c r="AW40" s="127"/>
      <c r="AX40" s="127"/>
      <c r="AY40" s="127"/>
      <c r="AZ40" s="127"/>
      <c r="BA40" s="127"/>
      <c r="BB40" s="127"/>
    </row>
    <row r="41" customFormat="false" ht="12.8" hidden="false" customHeight="false" outlineLevel="5" collapsed="false">
      <c r="C41" s="51" t="n">
        <v>6</v>
      </c>
      <c r="D41" s="118" t="s">
        <v>279</v>
      </c>
      <c r="J41" s="53" t="s">
        <v>280</v>
      </c>
      <c r="P41" s="119" t="n">
        <v>43951</v>
      </c>
      <c r="Q41" s="119" t="n">
        <v>43953</v>
      </c>
      <c r="S41" s="120" t="n">
        <v>3</v>
      </c>
      <c r="T41" s="120" t="n">
        <v>0</v>
      </c>
      <c r="U41" s="121" t="n">
        <v>3</v>
      </c>
      <c r="V41" s="121" t="n">
        <v>0</v>
      </c>
      <c r="W41" s="119"/>
      <c r="X41" s="119"/>
      <c r="Y41" s="122"/>
      <c r="Z41" s="123" t="n">
        <v>0</v>
      </c>
      <c r="AA41" s="59" t="n">
        <v>1</v>
      </c>
      <c r="AB41" s="53" t="s">
        <v>281</v>
      </c>
      <c r="AD41" s="124" t="n">
        <v>0</v>
      </c>
      <c r="AE41" s="125" t="n">
        <v>0</v>
      </c>
      <c r="AF41" s="126"/>
      <c r="AG41" s="127"/>
      <c r="AH41" s="127"/>
      <c r="AI41" s="127"/>
      <c r="AJ41" s="127"/>
      <c r="AK41" s="127"/>
      <c r="AL41" s="127"/>
      <c r="AM41" s="127"/>
      <c r="AN41" s="127"/>
      <c r="AO41" s="127" t="str">
        <f aca="false">"    " &amp; TEXT(AE41,"#0.00%") &amp; " " &amp; "프로그램B" &amp; " " &amp; IF(P41="","",TEXT(P41,"M/D-")) &amp; IF(Q41="","",TEXT(Q41,"M/D")) &amp; " "</f>
        <v>    0.00% 프로그램B 4/30-5/2 </v>
      </c>
      <c r="AP41" s="127"/>
      <c r="AQ41" s="127"/>
      <c r="AR41" s="127"/>
      <c r="AS41" s="127"/>
      <c r="AT41" s="127"/>
      <c r="AU41" s="127"/>
      <c r="AV41" s="127"/>
      <c r="AW41" s="127"/>
      <c r="AX41" s="127"/>
      <c r="AY41" s="127"/>
      <c r="AZ41" s="127"/>
      <c r="BA41" s="127"/>
      <c r="BB41" s="127"/>
    </row>
    <row r="42" customFormat="false" ht="12.8" hidden="false" customHeight="false" outlineLevel="5" collapsed="false">
      <c r="C42" s="51" t="n">
        <v>6</v>
      </c>
      <c r="D42" s="118" t="s">
        <v>282</v>
      </c>
      <c r="J42" s="53" t="s">
        <v>283</v>
      </c>
      <c r="P42" s="119" t="n">
        <v>43954</v>
      </c>
      <c r="Q42" s="119" t="n">
        <v>43959</v>
      </c>
      <c r="S42" s="120" t="n">
        <v>8</v>
      </c>
      <c r="T42" s="120" t="n">
        <v>0</v>
      </c>
      <c r="U42" s="121" t="n">
        <v>8</v>
      </c>
      <c r="V42" s="121" t="n">
        <v>0</v>
      </c>
      <c r="W42" s="119"/>
      <c r="X42" s="119"/>
      <c r="Y42" s="122"/>
      <c r="Z42" s="123" t="n">
        <v>0</v>
      </c>
      <c r="AA42" s="59" t="n">
        <v>1</v>
      </c>
      <c r="AB42" s="53" t="s">
        <v>237</v>
      </c>
      <c r="AD42" s="124" t="n">
        <v>0</v>
      </c>
      <c r="AE42" s="125" t="n">
        <v>0</v>
      </c>
      <c r="AF42" s="126"/>
      <c r="AG42" s="127"/>
      <c r="AH42" s="127"/>
      <c r="AI42" s="127"/>
      <c r="AJ42" s="127"/>
      <c r="AK42" s="127"/>
      <c r="AL42" s="127"/>
      <c r="AM42" s="127"/>
      <c r="AN42" s="127"/>
      <c r="AO42" s="127" t="str">
        <f aca="false">"    " &amp; TEXT(AE42,"#0.00%") &amp; " " &amp; "프로그램C" &amp; " " &amp; IF(P42="","",TEXT(P42,"M/D-")) &amp; IF(Q42="","",TEXT(Q42,"M/D")) &amp; " "</f>
        <v>    0.00% 프로그램C 5/3-5/8 </v>
      </c>
      <c r="AP42" s="127"/>
      <c r="AQ42" s="127"/>
      <c r="AR42" s="127"/>
      <c r="AS42" s="127"/>
      <c r="AT42" s="127"/>
      <c r="AU42" s="127"/>
      <c r="AV42" s="127"/>
      <c r="AW42" s="127"/>
      <c r="AX42" s="127"/>
      <c r="AY42" s="127"/>
      <c r="AZ42" s="127"/>
      <c r="BA42" s="127"/>
      <c r="BB42" s="127"/>
    </row>
    <row r="43" customFormat="false" ht="12.8" hidden="false" customHeight="false" outlineLevel="4" collapsed="false">
      <c r="C43" s="51" t="n">
        <v>5</v>
      </c>
      <c r="D43" s="118" t="s">
        <v>284</v>
      </c>
      <c r="I43" s="53" t="s">
        <v>285</v>
      </c>
      <c r="P43" s="119" t="n">
        <v>43960</v>
      </c>
      <c r="Q43" s="119" t="n">
        <v>43963</v>
      </c>
      <c r="S43" s="120" t="n">
        <v>42</v>
      </c>
      <c r="T43" s="120" t="n">
        <v>0</v>
      </c>
      <c r="U43" s="121" t="n">
        <v>42</v>
      </c>
      <c r="V43" s="121" t="n">
        <v>0</v>
      </c>
      <c r="W43" s="119"/>
      <c r="X43" s="119"/>
      <c r="Y43" s="122"/>
      <c r="Z43" s="123" t="n">
        <v>0</v>
      </c>
      <c r="AA43" s="59" t="n">
        <v>1</v>
      </c>
      <c r="AD43" s="124" t="n">
        <v>0</v>
      </c>
      <c r="AE43" s="125" t="n">
        <v>0</v>
      </c>
      <c r="AF43" s="126"/>
      <c r="AG43" s="127"/>
      <c r="AH43" s="127"/>
      <c r="AI43" s="127"/>
      <c r="AJ43" s="127"/>
      <c r="AK43" s="127"/>
      <c r="AL43" s="127"/>
      <c r="AM43" s="127"/>
      <c r="AN43" s="127" t="str">
        <f aca="false">"    " &amp; TEXT(AE43,"#0.00%") &amp; " "</f>
        <v>    0.00% </v>
      </c>
      <c r="AO43" s="127"/>
      <c r="AP43" s="127"/>
      <c r="AQ43" s="127"/>
      <c r="AR43" s="127"/>
      <c r="AS43" s="127"/>
      <c r="AT43" s="127"/>
      <c r="AU43" s="127"/>
      <c r="AV43" s="127"/>
      <c r="AW43" s="127" t="str">
        <f aca="false">" " &amp; "모듈B" &amp; " " &amp; IF(P43="","",TEXT(P43,"M/D-")) &amp; IF(Q43="","",TEXT(Q43,"M/D")) &amp; " "</f>
        <v> 모듈B 5/9-5/12 </v>
      </c>
      <c r="AX43" s="127"/>
      <c r="AY43" s="127"/>
      <c r="AZ43" s="127"/>
      <c r="BA43" s="127"/>
      <c r="BB43" s="127"/>
    </row>
    <row r="44" customFormat="false" ht="12.8" hidden="false" customHeight="false" outlineLevel="4" collapsed="false">
      <c r="C44" s="51" t="n">
        <v>5</v>
      </c>
      <c r="D44" s="118" t="s">
        <v>286</v>
      </c>
      <c r="I44" s="53" t="s">
        <v>287</v>
      </c>
      <c r="P44" s="119" t="n">
        <v>43965</v>
      </c>
      <c r="Q44" s="119" t="n">
        <v>43967</v>
      </c>
      <c r="S44" s="120" t="n">
        <v>42</v>
      </c>
      <c r="T44" s="120" t="n">
        <v>0</v>
      </c>
      <c r="U44" s="121" t="n">
        <v>42</v>
      </c>
      <c r="V44" s="121" t="n">
        <v>0</v>
      </c>
      <c r="W44" s="119"/>
      <c r="X44" s="119"/>
      <c r="Y44" s="122"/>
      <c r="Z44" s="123" t="n">
        <v>0</v>
      </c>
      <c r="AA44" s="59" t="n">
        <v>1</v>
      </c>
      <c r="AD44" s="124" t="n">
        <v>0</v>
      </c>
      <c r="AE44" s="125" t="n">
        <v>0</v>
      </c>
      <c r="AF44" s="126"/>
      <c r="AG44" s="127"/>
      <c r="AH44" s="127"/>
      <c r="AI44" s="127"/>
      <c r="AJ44" s="127"/>
      <c r="AK44" s="127"/>
      <c r="AL44" s="127"/>
      <c r="AM44" s="127"/>
      <c r="AN44" s="127" t="str">
        <f aca="false">"    " &amp; TEXT(AE44,"#0.00%") &amp; " "</f>
        <v>    0.00% </v>
      </c>
      <c r="AO44" s="127"/>
      <c r="AP44" s="127"/>
      <c r="AQ44" s="127"/>
      <c r="AR44" s="127"/>
      <c r="AS44" s="127"/>
      <c r="AT44" s="127"/>
      <c r="AU44" s="127"/>
      <c r="AV44" s="127"/>
      <c r="AW44" s="127" t="str">
        <f aca="false">" " &amp; "모듈C" &amp; " " &amp; IF(P44="","",TEXT(P44,"M/D-")) &amp; IF(Q44="","",TEXT(Q44,"M/D")) &amp; " "</f>
        <v> 모듈C 5/14-5/16 </v>
      </c>
      <c r="AX44" s="127"/>
      <c r="AY44" s="127"/>
      <c r="AZ44" s="127"/>
      <c r="BA44" s="127"/>
      <c r="BB44" s="127"/>
    </row>
    <row r="45" customFormat="false" ht="12.8" hidden="false" customHeight="false" outlineLevel="4" collapsed="false">
      <c r="C45" s="51" t="n">
        <v>5</v>
      </c>
      <c r="D45" s="118" t="s">
        <v>288</v>
      </c>
      <c r="I45" s="53" t="s">
        <v>289</v>
      </c>
      <c r="P45" s="119" t="n">
        <v>43968</v>
      </c>
      <c r="Q45" s="119" t="n">
        <v>43974</v>
      </c>
      <c r="S45" s="120" t="n">
        <v>32</v>
      </c>
      <c r="T45" s="120" t="n">
        <v>0</v>
      </c>
      <c r="U45" s="121" t="n">
        <v>32</v>
      </c>
      <c r="V45" s="121" t="n">
        <v>0</v>
      </c>
      <c r="W45" s="119"/>
      <c r="X45" s="119"/>
      <c r="Y45" s="122"/>
      <c r="Z45" s="123" t="n">
        <v>0</v>
      </c>
      <c r="AA45" s="59" t="n">
        <v>1</v>
      </c>
      <c r="AD45" s="124" t="n">
        <v>0</v>
      </c>
      <c r="AE45" s="125" t="n">
        <v>0</v>
      </c>
      <c r="AF45" s="126"/>
      <c r="AG45" s="127"/>
      <c r="AH45" s="127"/>
      <c r="AI45" s="127"/>
      <c r="AJ45" s="127"/>
      <c r="AK45" s="127"/>
      <c r="AL45" s="127"/>
      <c r="AM45" s="127"/>
      <c r="AN45" s="127"/>
      <c r="AO45" s="127"/>
      <c r="AP45" s="127" t="str">
        <f aca="false">"    " &amp; TEXT(AE45,"#0.00%") &amp; " "</f>
        <v>    0.00% </v>
      </c>
      <c r="AQ45" s="127"/>
      <c r="AR45" s="127"/>
      <c r="AS45" s="127"/>
      <c r="AT45" s="127"/>
      <c r="AU45" s="127"/>
      <c r="AV45" s="127"/>
      <c r="AW45" s="127" t="str">
        <f aca="false">" " &amp; "모듈D" &amp; " " &amp; IF(P45="","",TEXT(P45,"M/D-")) &amp; IF(Q45="","",TEXT(Q45,"M/D")) &amp; " "</f>
        <v> 모듈D 5/17-5/23 </v>
      </c>
      <c r="AX45" s="127"/>
      <c r="AY45" s="127"/>
      <c r="AZ45" s="127"/>
      <c r="BA45" s="127"/>
      <c r="BB45" s="127"/>
    </row>
    <row r="46" customFormat="false" ht="12.8" hidden="false" customHeight="false" outlineLevel="2" collapsed="false">
      <c r="B46" s="117" t="s">
        <v>200</v>
      </c>
      <c r="C46" s="51" t="n">
        <v>3</v>
      </c>
      <c r="D46" s="118" t="s">
        <v>290</v>
      </c>
      <c r="G46" s="53" t="s">
        <v>291</v>
      </c>
      <c r="P46" s="119" t="n">
        <v>43976</v>
      </c>
      <c r="Q46" s="119" t="n">
        <v>43980</v>
      </c>
      <c r="S46" s="120" t="n">
        <v>16</v>
      </c>
      <c r="T46" s="120" t="n">
        <v>0</v>
      </c>
      <c r="U46" s="121" t="n">
        <v>18</v>
      </c>
      <c r="V46" s="121" t="n">
        <v>0</v>
      </c>
      <c r="W46" s="119"/>
      <c r="X46" s="119"/>
      <c r="Y46" s="122" t="n">
        <v>0</v>
      </c>
      <c r="Z46" s="123" t="n">
        <v>0</v>
      </c>
      <c r="AD46" s="124" t="n">
        <v>0</v>
      </c>
      <c r="AE46" s="125" t="n">
        <v>0</v>
      </c>
      <c r="AF46" s="126"/>
      <c r="AG46" s="127"/>
      <c r="AH46" s="127"/>
      <c r="AI46" s="127"/>
      <c r="AJ46" s="127"/>
      <c r="AK46" s="127"/>
      <c r="AL46" s="127"/>
      <c r="AM46" s="127"/>
      <c r="AN46" s="127"/>
      <c r="AO46" s="127"/>
      <c r="AP46" s="127"/>
      <c r="AQ46" s="127"/>
      <c r="AR46" s="127"/>
      <c r="AS46" s="127"/>
      <c r="AT46" s="127" t="str">
        <f aca="false">"    " &amp; TEXT(AE46,"#0.00%") &amp; " "</f>
        <v>    0.00% </v>
      </c>
      <c r="AU46" s="127"/>
      <c r="AV46" s="127"/>
      <c r="AW46" s="127"/>
      <c r="AX46" s="127" t="str">
        <f aca="false">"  " &amp; "테스트실시" &amp; " " &amp; IF(P46="","",TEXT(P46,"M/D-")) &amp; IF(Q46="","",TEXT(Q46,"M/D")) &amp; " "</f>
        <v>  테스트실시 5/25-5/29 </v>
      </c>
      <c r="AY46" s="127"/>
      <c r="AZ46" s="127"/>
      <c r="BA46" s="127"/>
      <c r="BB46" s="127"/>
    </row>
    <row r="47" customFormat="false" ht="12.8" hidden="false" customHeight="false" outlineLevel="3" collapsed="false">
      <c r="C47" s="51" t="n">
        <v>4</v>
      </c>
      <c r="D47" s="118" t="s">
        <v>292</v>
      </c>
      <c r="H47" s="53" t="s">
        <v>293</v>
      </c>
      <c r="P47" s="119" t="n">
        <v>43977</v>
      </c>
      <c r="Q47" s="119" t="n">
        <v>43978</v>
      </c>
      <c r="S47" s="120" t="n">
        <v>13</v>
      </c>
      <c r="T47" s="120" t="n">
        <v>0</v>
      </c>
      <c r="U47" s="121" t="n">
        <v>13</v>
      </c>
      <c r="V47" s="121" t="n">
        <v>0</v>
      </c>
      <c r="W47" s="119"/>
      <c r="X47" s="119"/>
      <c r="Y47" s="122"/>
      <c r="Z47" s="123" t="n">
        <v>0</v>
      </c>
      <c r="AA47" s="59" t="n">
        <v>1</v>
      </c>
      <c r="AD47" s="124" t="n">
        <v>0</v>
      </c>
      <c r="AE47" s="125" t="n">
        <v>0</v>
      </c>
      <c r="AF47" s="126"/>
      <c r="AG47" s="127"/>
      <c r="AH47" s="127"/>
      <c r="AI47" s="127"/>
      <c r="AJ47" s="127"/>
      <c r="AK47" s="127"/>
      <c r="AL47" s="127"/>
      <c r="AM47" s="127"/>
      <c r="AN47" s="127"/>
      <c r="AO47" s="127"/>
      <c r="AP47" s="127"/>
      <c r="AQ47" s="127"/>
      <c r="AR47" s="127"/>
      <c r="AS47" s="127"/>
      <c r="AT47" s="127" t="str">
        <f aca="false">"    " &amp; TEXT(AE47,"#0.00%") &amp; " " &amp; "통합테스트실시" &amp; " " &amp; IF(P47="","",TEXT(P47,"M/D-")) &amp; IF(Q47="","",TEXT(Q47,"M/D")) &amp; " "</f>
        <v>    0.00% 통합테스트실시 5/26-5/27 </v>
      </c>
      <c r="AU47" s="127"/>
      <c r="AV47" s="127"/>
      <c r="AW47" s="127"/>
      <c r="AX47" s="127"/>
      <c r="AY47" s="127"/>
      <c r="AZ47" s="127"/>
      <c r="BA47" s="127"/>
      <c r="BB47" s="127"/>
    </row>
    <row r="48" customFormat="false" ht="12.8" hidden="false" customHeight="false" outlineLevel="3" collapsed="false">
      <c r="C48" s="51" t="n">
        <v>4</v>
      </c>
      <c r="D48" s="118" t="s">
        <v>294</v>
      </c>
      <c r="H48" s="53" t="s">
        <v>295</v>
      </c>
      <c r="P48" s="119" t="n">
        <v>43978</v>
      </c>
      <c r="Q48" s="119" t="n">
        <v>43979</v>
      </c>
      <c r="S48" s="120" t="n">
        <v>3</v>
      </c>
      <c r="T48" s="120" t="n">
        <v>0</v>
      </c>
      <c r="U48" s="121" t="n">
        <v>3</v>
      </c>
      <c r="V48" s="121" t="n">
        <v>0</v>
      </c>
      <c r="W48" s="119"/>
      <c r="X48" s="119"/>
      <c r="Y48" s="122"/>
      <c r="Z48" s="123" t="n">
        <v>0</v>
      </c>
      <c r="AA48" s="59" t="n">
        <v>1</v>
      </c>
      <c r="AD48" s="124" t="n">
        <v>0</v>
      </c>
      <c r="AE48" s="125" t="n">
        <v>0</v>
      </c>
      <c r="AF48" s="126"/>
      <c r="AG48" s="127"/>
      <c r="AH48" s="127"/>
      <c r="AI48" s="127"/>
      <c r="AJ48" s="127"/>
      <c r="AK48" s="127"/>
      <c r="AL48" s="127"/>
      <c r="AM48" s="127"/>
      <c r="AN48" s="127"/>
      <c r="AO48" s="127"/>
      <c r="AP48" s="127"/>
      <c r="AQ48" s="127"/>
      <c r="AR48" s="127"/>
      <c r="AS48" s="127"/>
      <c r="AT48" s="127"/>
      <c r="AU48" s="127"/>
      <c r="AV48" s="127"/>
      <c r="AW48" s="127" t="str">
        <f aca="false">"    " &amp; TEXT(AE48,"#0.00%") &amp; " " &amp; "시스템테스트실시" &amp; " " &amp; IF(P48="","",TEXT(P48,"M/D-")) &amp; IF(Q48="","",TEXT(Q48,"M/D")) &amp; " "</f>
        <v>    0.00% 시스템테스트실시 5/27-5/28 </v>
      </c>
      <c r="AX48" s="127"/>
      <c r="AY48" s="127"/>
      <c r="AZ48" s="127"/>
      <c r="BA48" s="127"/>
      <c r="BB48" s="127"/>
    </row>
    <row r="49" customFormat="false" ht="12.8" hidden="false" customHeight="false" outlineLevel="1" collapsed="false">
      <c r="B49" s="117" t="s">
        <v>200</v>
      </c>
      <c r="C49" s="51" t="n">
        <v>2</v>
      </c>
      <c r="D49" s="118" t="s">
        <v>296</v>
      </c>
      <c r="F49" s="53" t="s">
        <v>297</v>
      </c>
      <c r="P49" s="119" t="n">
        <v>43983</v>
      </c>
      <c r="Q49" s="119" t="n">
        <v>44011</v>
      </c>
      <c r="S49" s="120" t="n">
        <v>9</v>
      </c>
      <c r="T49" s="120" t="n">
        <v>0</v>
      </c>
      <c r="U49" s="121" t="n">
        <v>5</v>
      </c>
      <c r="V49" s="121" t="n">
        <v>0</v>
      </c>
      <c r="W49" s="119"/>
      <c r="X49" s="119"/>
      <c r="Y49" s="122" t="n">
        <v>0</v>
      </c>
      <c r="Z49" s="123" t="n">
        <v>0</v>
      </c>
      <c r="AD49" s="124" t="n">
        <v>0</v>
      </c>
      <c r="AE49" s="125" t="n">
        <v>0</v>
      </c>
      <c r="AF49" s="126"/>
      <c r="AG49" s="127"/>
      <c r="AH49" s="127"/>
      <c r="AI49" s="127"/>
      <c r="AJ49" s="127"/>
      <c r="AK49" s="127"/>
      <c r="AL49" s="127"/>
      <c r="AM49" s="127"/>
      <c r="AN49" s="127"/>
      <c r="AO49" s="127"/>
      <c r="AP49" s="127"/>
      <c r="AQ49" s="127"/>
      <c r="AR49" s="127"/>
      <c r="AS49" s="127"/>
      <c r="AT49" s="127"/>
      <c r="AU49" s="127"/>
      <c r="AV49" s="127"/>
      <c r="AW49" s="127" t="str">
        <f aca="false">"    " &amp; TEXT(AE49,"#0.00%") &amp; " " &amp; "구현" &amp; " " &amp; IF(P49="","",TEXT(P49,"M/D-")) &amp; IF(Q49="","",TEXT(Q49,"M/D")) &amp; " "</f>
        <v>    0.00% 구현 6/1-6/29 </v>
      </c>
      <c r="AX49" s="127"/>
      <c r="AY49" s="127"/>
      <c r="AZ49" s="127"/>
      <c r="BA49" s="127"/>
      <c r="BB49" s="127"/>
    </row>
    <row r="50" customFormat="false" ht="12.8" hidden="false" customHeight="false" outlineLevel="2" collapsed="false">
      <c r="B50" s="117" t="s">
        <v>200</v>
      </c>
      <c r="C50" s="51" t="n">
        <v>3</v>
      </c>
      <c r="D50" s="118" t="s">
        <v>298</v>
      </c>
      <c r="G50" s="53" t="s">
        <v>299</v>
      </c>
      <c r="P50" s="119" t="n">
        <v>43984</v>
      </c>
      <c r="Q50" s="119" t="n">
        <v>43994</v>
      </c>
      <c r="S50" s="120" t="n">
        <v>2</v>
      </c>
      <c r="T50" s="120" t="n">
        <v>0</v>
      </c>
      <c r="U50" s="121" t="n">
        <v>2</v>
      </c>
      <c r="V50" s="121" t="n">
        <v>0</v>
      </c>
      <c r="W50" s="119"/>
      <c r="X50" s="119"/>
      <c r="Y50" s="122" t="n">
        <v>0</v>
      </c>
      <c r="Z50" s="123" t="n">
        <v>0</v>
      </c>
      <c r="AD50" s="124" t="n">
        <v>0</v>
      </c>
      <c r="AE50" s="125" t="n">
        <v>0</v>
      </c>
      <c r="AF50" s="126"/>
      <c r="AG50" s="127"/>
      <c r="AH50" s="127"/>
      <c r="AI50" s="127"/>
      <c r="AJ50" s="127"/>
      <c r="AK50" s="127"/>
      <c r="AL50" s="127"/>
      <c r="AM50" s="127"/>
      <c r="AN50" s="127"/>
      <c r="AO50" s="127"/>
      <c r="AP50" s="127"/>
      <c r="AQ50" s="127"/>
      <c r="AR50" s="127"/>
      <c r="AS50" s="127"/>
      <c r="AT50" s="127"/>
      <c r="AU50" s="127"/>
      <c r="AV50" s="127"/>
      <c r="AW50" s="127" t="str">
        <f aca="false">"    " &amp; TEXT(AE50,"#0.00%") &amp; " " &amp; "구현준비" &amp; " " &amp; IF(P50="","",TEXT(P50,"M/D-")) &amp; IF(Q50="","",TEXT(Q50,"M/D")) &amp; " "</f>
        <v>    0.00% 구현준비 6/2-6/12 </v>
      </c>
      <c r="AX50" s="127"/>
      <c r="AY50" s="127"/>
      <c r="AZ50" s="127"/>
      <c r="BA50" s="127"/>
      <c r="BB50" s="127"/>
    </row>
    <row r="51" customFormat="false" ht="12.8" hidden="false" customHeight="false" outlineLevel="3" collapsed="false">
      <c r="C51" s="51" t="n">
        <v>4</v>
      </c>
      <c r="D51" s="118" t="s">
        <v>300</v>
      </c>
      <c r="H51" s="129" t="s">
        <v>301</v>
      </c>
      <c r="P51" s="119" t="n">
        <v>43985</v>
      </c>
      <c r="Q51" s="119" t="n">
        <v>43993</v>
      </c>
      <c r="S51" s="120" t="n">
        <v>2</v>
      </c>
      <c r="T51" s="120" t="n">
        <v>0</v>
      </c>
      <c r="U51" s="121" t="n">
        <v>2</v>
      </c>
      <c r="V51" s="121" t="n">
        <v>0</v>
      </c>
      <c r="W51" s="119"/>
      <c r="X51" s="119"/>
      <c r="Y51" s="122"/>
      <c r="Z51" s="123" t="n">
        <v>0</v>
      </c>
      <c r="AA51" s="59" t="n">
        <v>1</v>
      </c>
      <c r="AD51" s="124" t="n">
        <v>0</v>
      </c>
      <c r="AE51" s="125" t="n">
        <v>0</v>
      </c>
      <c r="AF51" s="126"/>
      <c r="AG51" s="127"/>
      <c r="AH51" s="127"/>
      <c r="AI51" s="127"/>
      <c r="AJ51" s="127"/>
      <c r="AK51" s="127"/>
      <c r="AL51" s="127"/>
      <c r="AM51" s="127"/>
      <c r="AN51" s="127"/>
      <c r="AO51" s="127"/>
      <c r="AP51" s="127"/>
      <c r="AQ51" s="127"/>
      <c r="AR51" s="127"/>
      <c r="AS51" s="127"/>
      <c r="AT51" s="127"/>
      <c r="AU51" s="127"/>
      <c r="AV51" s="127"/>
      <c r="AW51" s="127" t="str">
        <f aca="false">"    " &amp; TEXT(AE51,"#0.00%") &amp; " " &amp; "Release 및 Contingency plan수립" &amp; " " &amp; IF(P51="","",TEXT(P51,"M/D-")) &amp; IF(Q51="","",TEXT(Q51,"M/D")) &amp; " "</f>
        <v>    0.00% Release 및 Contingency plan수립 6/3-6/11 </v>
      </c>
      <c r="AX51" s="127"/>
      <c r="AY51" s="127"/>
      <c r="AZ51" s="127"/>
      <c r="BA51" s="127"/>
      <c r="BB51" s="127"/>
    </row>
    <row r="52" customFormat="false" ht="12.8" hidden="false" customHeight="false" outlineLevel="2" collapsed="false">
      <c r="B52" s="117" t="s">
        <v>200</v>
      </c>
      <c r="C52" s="51" t="n">
        <v>3</v>
      </c>
      <c r="D52" s="118" t="s">
        <v>302</v>
      </c>
      <c r="G52" s="129" t="s">
        <v>303</v>
      </c>
      <c r="P52" s="119" t="n">
        <v>43994</v>
      </c>
      <c r="Q52" s="119" t="n">
        <v>44011</v>
      </c>
      <c r="S52" s="120" t="n">
        <v>7</v>
      </c>
      <c r="T52" s="120" t="n">
        <v>0</v>
      </c>
      <c r="U52" s="121" t="n">
        <v>3</v>
      </c>
      <c r="V52" s="121" t="n">
        <v>0</v>
      </c>
      <c r="W52" s="119"/>
      <c r="X52" s="119"/>
      <c r="Y52" s="122" t="n">
        <v>0</v>
      </c>
      <c r="Z52" s="123" t="n">
        <v>0</v>
      </c>
      <c r="AD52" s="124" t="n">
        <v>0</v>
      </c>
      <c r="AE52" s="125" t="n">
        <v>0</v>
      </c>
      <c r="AF52" s="126"/>
      <c r="AG52" s="127"/>
      <c r="AH52" s="127"/>
      <c r="AI52" s="127"/>
      <c r="AJ52" s="127"/>
      <c r="AK52" s="127"/>
      <c r="AL52" s="127"/>
      <c r="AM52" s="127"/>
      <c r="AN52" s="127"/>
      <c r="AO52" s="127"/>
      <c r="AP52" s="127"/>
      <c r="AQ52" s="127"/>
      <c r="AR52" s="127"/>
      <c r="AS52" s="127"/>
      <c r="AT52" s="127"/>
      <c r="AU52" s="127"/>
      <c r="AV52" s="127"/>
      <c r="AW52" s="127"/>
      <c r="AX52" s="127" t="str">
        <f aca="false">" " &amp; TEXT(AE52,"#0.00%") &amp; " " &amp; "Conversion 및 Release" &amp; " " &amp; IF(P52="","",TEXT(P52,"M/D-")) &amp; IF(Q52="","",TEXT(Q52,"M/D")) &amp; " "</f>
        <v> 0.00% Conversion 및 Release 6/12-6/29 </v>
      </c>
      <c r="AY52" s="127"/>
      <c r="AZ52" s="127"/>
      <c r="BA52" s="127"/>
      <c r="BB52" s="127"/>
    </row>
    <row r="53" customFormat="false" ht="12.8" hidden="false" customHeight="false" outlineLevel="3" collapsed="false">
      <c r="C53" s="51" t="n">
        <v>4</v>
      </c>
      <c r="D53" s="118" t="s">
        <v>304</v>
      </c>
      <c r="H53" s="53" t="s">
        <v>305</v>
      </c>
      <c r="P53" s="119" t="n">
        <v>43995</v>
      </c>
      <c r="Q53" s="119" t="n">
        <v>43997</v>
      </c>
      <c r="S53" s="120" t="n">
        <v>2</v>
      </c>
      <c r="T53" s="120" t="n">
        <v>0</v>
      </c>
      <c r="U53" s="121" t="n">
        <v>2</v>
      </c>
      <c r="V53" s="121" t="n">
        <v>0</v>
      </c>
      <c r="W53" s="119"/>
      <c r="X53" s="119"/>
      <c r="Y53" s="122"/>
      <c r="Z53" s="123" t="n">
        <v>0</v>
      </c>
      <c r="AA53" s="59" t="n">
        <v>1</v>
      </c>
      <c r="AD53" s="124" t="n">
        <v>0</v>
      </c>
      <c r="AE53" s="125" t="n">
        <v>0</v>
      </c>
      <c r="AF53" s="126"/>
      <c r="AG53" s="127"/>
      <c r="AH53" s="127"/>
      <c r="AI53" s="127"/>
      <c r="AJ53" s="127"/>
      <c r="AK53" s="127"/>
      <c r="AL53" s="127"/>
      <c r="AM53" s="127"/>
      <c r="AN53" s="127"/>
      <c r="AO53" s="127"/>
      <c r="AP53" s="127"/>
      <c r="AQ53" s="127"/>
      <c r="AR53" s="127"/>
      <c r="AS53" s="127"/>
      <c r="AT53" s="127"/>
      <c r="AU53" s="127"/>
      <c r="AV53" s="127"/>
      <c r="AW53" s="127"/>
      <c r="AX53" s="127" t="str">
        <f aca="false">" " &amp; TEXT(AE53,"#0.00%") &amp; " " &amp; "데이터베이스구축" &amp; " " &amp; IF(P53="","",TEXT(P53,"M/D-")) &amp; IF(Q53="","",TEXT(Q53,"M/D")) &amp; " "</f>
        <v> 0.00% 데이터베이스구축 6/13-6/15 </v>
      </c>
      <c r="AY53" s="127"/>
      <c r="AZ53" s="127"/>
      <c r="BA53" s="127"/>
      <c r="BB53" s="127"/>
    </row>
    <row r="54" customFormat="false" ht="12.8" hidden="false" customHeight="false" outlineLevel="3" collapsed="false">
      <c r="C54" s="51" t="n">
        <v>4</v>
      </c>
      <c r="D54" s="118" t="s">
        <v>306</v>
      </c>
      <c r="H54" s="53" t="s">
        <v>307</v>
      </c>
      <c r="P54" s="119" t="n">
        <v>43997</v>
      </c>
      <c r="Q54" s="119" t="n">
        <v>43999</v>
      </c>
      <c r="S54" s="120" t="n">
        <v>2</v>
      </c>
      <c r="T54" s="120" t="n">
        <v>0</v>
      </c>
      <c r="U54" s="121" t="n">
        <v>2</v>
      </c>
      <c r="V54" s="121" t="n">
        <v>0</v>
      </c>
      <c r="W54" s="119"/>
      <c r="X54" s="119"/>
      <c r="Y54" s="122"/>
      <c r="Z54" s="123" t="n">
        <v>0</v>
      </c>
      <c r="AA54" s="59" t="n">
        <v>1</v>
      </c>
      <c r="AD54" s="124" t="n">
        <v>0</v>
      </c>
      <c r="AE54" s="125" t="n">
        <v>0</v>
      </c>
      <c r="AF54" s="126"/>
      <c r="AG54" s="127"/>
      <c r="AH54" s="127"/>
      <c r="AI54" s="127"/>
      <c r="AJ54" s="127"/>
      <c r="AK54" s="127"/>
      <c r="AL54" s="127"/>
      <c r="AM54" s="127"/>
      <c r="AN54" s="127"/>
      <c r="AO54" s="127"/>
      <c r="AP54" s="127"/>
      <c r="AQ54" s="127"/>
      <c r="AR54" s="127"/>
      <c r="AS54" s="127"/>
      <c r="AT54" s="127"/>
      <c r="AU54" s="127"/>
      <c r="AV54" s="127"/>
      <c r="AW54" s="127"/>
      <c r="AX54" s="127" t="str">
        <f aca="false">" " &amp; TEXT(AE54,"#0.00%") &amp; " " &amp; "소프트웨어설치" &amp; " " &amp; IF(P54="","",TEXT(P54,"M/D-")) &amp; IF(Q54="","",TEXT(Q54,"M/D")) &amp; " "</f>
        <v> 0.00% 소프트웨어설치 6/15-6/17 </v>
      </c>
      <c r="AY54" s="127"/>
      <c r="AZ54" s="127"/>
      <c r="BA54" s="127"/>
      <c r="BB54" s="127"/>
    </row>
    <row r="55" customFormat="false" ht="12.8" hidden="false" customHeight="false" outlineLevel="3" collapsed="false">
      <c r="C55" s="51" t="n">
        <v>4</v>
      </c>
      <c r="D55" s="118" t="s">
        <v>308</v>
      </c>
      <c r="H55" s="53" t="s">
        <v>309</v>
      </c>
      <c r="P55" s="119" t="n">
        <v>43999</v>
      </c>
      <c r="Q55" s="119" t="n">
        <v>44001</v>
      </c>
      <c r="S55" s="120" t="n">
        <v>2</v>
      </c>
      <c r="T55" s="120" t="n">
        <v>0</v>
      </c>
      <c r="U55" s="121" t="n">
        <v>2</v>
      </c>
      <c r="V55" s="121" t="n">
        <v>0</v>
      </c>
      <c r="W55" s="119"/>
      <c r="X55" s="119"/>
      <c r="Y55" s="122"/>
      <c r="Z55" s="123" t="n">
        <v>0</v>
      </c>
      <c r="AA55" s="59" t="n">
        <v>1</v>
      </c>
      <c r="AD55" s="124" t="n">
        <v>0</v>
      </c>
      <c r="AE55" s="125" t="n">
        <v>0</v>
      </c>
      <c r="AF55" s="126"/>
      <c r="AG55" s="127"/>
      <c r="AH55" s="127"/>
      <c r="AI55" s="127"/>
      <c r="AJ55" s="127"/>
      <c r="AK55" s="127"/>
      <c r="AL55" s="127"/>
      <c r="AM55" s="127"/>
      <c r="AN55" s="127"/>
      <c r="AO55" s="127"/>
      <c r="AP55" s="127"/>
      <c r="AQ55" s="127"/>
      <c r="AR55" s="127"/>
      <c r="AS55" s="127"/>
      <c r="AT55" s="127"/>
      <c r="AU55" s="127"/>
      <c r="AV55" s="127"/>
      <c r="AW55" s="127"/>
      <c r="AX55" s="127" t="str">
        <f aca="false">" " &amp; TEXT(AE55,"#0.00%") &amp; " " &amp; "인수테스트실시" &amp; " " &amp; IF(P55="","",TEXT(P55,"M/D-")) &amp; IF(Q55="","",TEXT(Q55,"M/D")) &amp; " "</f>
        <v> 0.00% 인수테스트실시 6/17-6/19 </v>
      </c>
      <c r="AY55" s="127"/>
      <c r="AZ55" s="127"/>
      <c r="BA55" s="127"/>
      <c r="BB55" s="127"/>
    </row>
    <row r="56" customFormat="false" ht="12.8" hidden="false" customHeight="false" outlineLevel="3" collapsed="false">
      <c r="C56" s="51" t="n">
        <v>4</v>
      </c>
      <c r="D56" s="118" t="s">
        <v>310</v>
      </c>
      <c r="H56" s="53" t="s">
        <v>311</v>
      </c>
      <c r="P56" s="119" t="n">
        <v>44002</v>
      </c>
      <c r="Q56" s="119" t="n">
        <v>44010</v>
      </c>
      <c r="S56" s="120" t="n">
        <v>1</v>
      </c>
      <c r="T56" s="120" t="n">
        <v>0</v>
      </c>
      <c r="U56" s="121" t="n">
        <v>1</v>
      </c>
      <c r="V56" s="121" t="n">
        <v>0</v>
      </c>
      <c r="W56" s="119"/>
      <c r="X56" s="119"/>
      <c r="Y56" s="122"/>
      <c r="Z56" s="123" t="n">
        <v>0</v>
      </c>
      <c r="AA56" s="59" t="n">
        <v>1</v>
      </c>
      <c r="AD56" s="124" t="n">
        <v>0</v>
      </c>
      <c r="AE56" s="125" t="n">
        <v>0</v>
      </c>
      <c r="AF56" s="126"/>
      <c r="AG56" s="127"/>
      <c r="AH56" s="127"/>
      <c r="AI56" s="127"/>
      <c r="AJ56" s="127"/>
      <c r="AK56" s="127"/>
      <c r="AL56" s="127"/>
      <c r="AM56" s="127"/>
      <c r="AN56" s="127"/>
      <c r="AO56" s="127"/>
      <c r="AP56" s="127"/>
      <c r="AQ56" s="127"/>
      <c r="AR56" s="127"/>
      <c r="AS56" s="127"/>
      <c r="AT56" s="127"/>
      <c r="AU56" s="127"/>
      <c r="AV56" s="127"/>
      <c r="AW56" s="127"/>
      <c r="AX56" s="127" t="str">
        <f aca="false">"    " &amp; TEXT(AE56,"#0.00%") &amp; " " &amp; "시스템오픈" &amp; " " &amp; IF(P56="","",TEXT(P56,"M/D-")) &amp; IF(Q56="","",TEXT(Q56,"M/D")) &amp; " "</f>
        <v>    0.00% 시스템오픈 6/20-6/28 </v>
      </c>
      <c r="AY56" s="127"/>
      <c r="AZ56" s="127"/>
      <c r="BA56" s="127"/>
      <c r="BB56" s="127"/>
    </row>
    <row r="57" customFormat="false" ht="12" hidden="false" customHeight="false" outlineLevel="0" collapsed="false">
      <c r="A57" s="130"/>
      <c r="B57" s="130"/>
      <c r="C57" s="130"/>
      <c r="D57" s="131"/>
      <c r="E57" s="132"/>
      <c r="F57" s="132"/>
      <c r="G57" s="132"/>
      <c r="H57" s="132"/>
      <c r="I57" s="132"/>
      <c r="J57" s="132"/>
      <c r="K57" s="132"/>
      <c r="L57" s="132"/>
      <c r="M57" s="132"/>
      <c r="N57" s="132"/>
      <c r="O57" s="132"/>
      <c r="P57" s="133"/>
      <c r="Q57" s="133"/>
      <c r="R57" s="132"/>
      <c r="S57" s="134"/>
      <c r="T57" s="134"/>
      <c r="U57" s="135"/>
      <c r="V57" s="135"/>
      <c r="W57" s="133"/>
      <c r="X57" s="133"/>
      <c r="Y57" s="136"/>
      <c r="Z57" s="137"/>
      <c r="AA57" s="138"/>
      <c r="AB57" s="132"/>
      <c r="AC57" s="139"/>
      <c r="AD57" s="140"/>
      <c r="AE57" s="141"/>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row>
  </sheetData>
  <mergeCells count="29">
    <mergeCell ref="D2:F2"/>
    <mergeCell ref="A3:A4"/>
    <mergeCell ref="B3:B4"/>
    <mergeCell ref="C3:C4"/>
    <mergeCell ref="D3:D4"/>
    <mergeCell ref="E3:N4"/>
    <mergeCell ref="O3:O4"/>
    <mergeCell ref="P3:P4"/>
    <mergeCell ref="Q3:Q4"/>
    <mergeCell ref="R3:R4"/>
    <mergeCell ref="S3:S4"/>
    <mergeCell ref="T3:T4"/>
    <mergeCell ref="U3:U4"/>
    <mergeCell ref="V3:V4"/>
    <mergeCell ref="W3:W4"/>
    <mergeCell ref="X3:X4"/>
    <mergeCell ref="Y3:Y4"/>
    <mergeCell ref="Z3:Z4"/>
    <mergeCell ref="AA3:AA4"/>
    <mergeCell ref="AB3:AB4"/>
    <mergeCell ref="AC3:AC4"/>
    <mergeCell ref="AD3:AD4"/>
    <mergeCell ref="AE3:AE4"/>
    <mergeCell ref="AF3:AI3"/>
    <mergeCell ref="AJ3:AM3"/>
    <mergeCell ref="AN3:AQ3"/>
    <mergeCell ref="AR3:AU3"/>
    <mergeCell ref="AV3:AY3"/>
    <mergeCell ref="AZ3:BC3"/>
  </mergeCells>
  <conditionalFormatting sqref="D5:AE56">
    <cfRule type="expression" priority="2" aboveAverage="0" equalAverage="0" bottom="0" percent="0" rank="0" text="" dxfId="0">
      <formula>($AE5=1)</formula>
    </cfRule>
    <cfRule type="expression" priority="3" aboveAverage="0" equalAverage="0" bottom="0" percent="0" rank="0" text="" dxfId="1">
      <formula>($B5="G")</formula>
    </cfRule>
  </conditionalFormatting>
  <hyperlinks>
    <hyperlink ref="AF1" r:id="rId1" display="  XLGantt 3.0.0 ©XLWorks"/>
  </hyperlinks>
  <printOptions headings="false" gridLines="false" gridLinesSet="true" horizontalCentered="false" verticalCentered="false"/>
  <pageMargins left="0.196527777777778" right="0.236111111111111" top="0.433333333333333" bottom="0.236111111111111" header="0.511805555555555" footer="0.196527777777778"/>
  <pageSetup paperSize="9"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&amp;L&amp;9XLGantt ©http://xlworks.net&amp;C&amp;9&amp;P/&amp;N</oddFooter>
  </headerFooter>
  <drawing r:id="rId2"/>
</worksheet>
</file>

<file path=xl/worksheets/sheet4.xml><?xml version="1.0" encoding="utf-8"?>
<worksheet xmlns="http://schemas.openxmlformats.org/spreadsheetml/2006/main" xmlns:r="http://schemas.openxmlformats.org/officeDocument/2006/relationships">
  <sheetPr filterMode="false">
    <tabColor rgb="FFFF6600"/>
    <pageSetUpPr fitToPage="true"/>
  </sheetPr>
  <dimension ref="A1:Q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24" activeCellId="0" sqref="B24"/>
    </sheetView>
  </sheetViews>
  <sheetFormatPr defaultRowHeight="15" zeroHeight="false" outlineLevelRow="0" outlineLevelCol="0"/>
  <cols>
    <col collapsed="false" customWidth="true" hidden="false" outlineLevel="0" max="1" min="1" style="142" width="35.38"/>
    <col collapsed="false" customWidth="true" hidden="false" outlineLevel="0" max="2" min="2" style="143" width="13.25"/>
    <col collapsed="false" customWidth="true" hidden="false" outlineLevel="0" max="3" min="3" style="144" width="9.87"/>
    <col collapsed="false" customWidth="true" hidden="false" outlineLevel="0" max="4" min="4" style="144" width="31.38"/>
    <col collapsed="false" customWidth="true" hidden="false" outlineLevel="0" max="6" min="5" style="144" width="14.13"/>
    <col collapsed="false" customWidth="true" hidden="false" outlineLevel="0" max="7" min="7" style="144" width="28.38"/>
    <col collapsed="false" customWidth="true" hidden="false" outlineLevel="0" max="9" min="8" style="144" width="10"/>
    <col collapsed="false" customWidth="true" hidden="false" outlineLevel="0" max="10" min="10" style="144" width="8.87"/>
    <col collapsed="false" customWidth="true" hidden="false" outlineLevel="0" max="22" min="11" style="144" width="10"/>
    <col collapsed="false" customWidth="true" hidden="true" outlineLevel="0" max="23" min="23" style="144" width="10"/>
    <col collapsed="false" customWidth="true" hidden="false" outlineLevel="0" max="1025" min="24" style="144" width="10"/>
  </cols>
  <sheetData>
    <row r="1" s="149" customFormat="true" ht="36.95" hidden="false" customHeight="true" outlineLevel="0" collapsed="false">
      <c r="A1" s="145" t="s">
        <v>312</v>
      </c>
      <c r="B1" s="146"/>
      <c r="C1" s="146"/>
      <c r="D1" s="146"/>
      <c r="E1" s="146"/>
      <c r="F1" s="146"/>
      <c r="G1" s="146"/>
      <c r="H1" s="146"/>
      <c r="I1" s="146"/>
      <c r="J1" s="146"/>
      <c r="K1" s="146"/>
      <c r="L1" s="147"/>
      <c r="M1" s="147"/>
      <c r="N1" s="147"/>
      <c r="O1" s="148"/>
      <c r="P1" s="148"/>
      <c r="Q1" s="148"/>
    </row>
    <row r="2" s="152" customFormat="true" ht="12.75" hidden="false" customHeight="false" outlineLevel="0" collapsed="false">
      <c r="A2" s="150" t="s">
        <v>313</v>
      </c>
      <c r="B2" s="151"/>
    </row>
    <row r="3" s="152" customFormat="true" ht="12.75" hidden="false" customHeight="false" outlineLevel="0" collapsed="false">
      <c r="A3" s="150" t="s">
        <v>314</v>
      </c>
      <c r="B3" s="151"/>
    </row>
    <row r="4" s="152" customFormat="true" ht="12.75" hidden="false" customHeight="false" outlineLevel="0" collapsed="false">
      <c r="A4" s="153"/>
      <c r="B4" s="153"/>
      <c r="C4" s="154"/>
      <c r="D4" s="155"/>
      <c r="E4" s="155"/>
      <c r="F4" s="155"/>
    </row>
    <row r="5" s="161" customFormat="true" ht="12.75" hidden="false" customHeight="false" outlineLevel="0" collapsed="false">
      <c r="A5" s="156"/>
      <c r="B5" s="157"/>
      <c r="C5" s="158"/>
      <c r="D5" s="159"/>
      <c r="E5" s="160"/>
      <c r="F5" s="160"/>
      <c r="G5" s="160"/>
    </row>
    <row r="6" s="161" customFormat="true" ht="12.8" hidden="false" customHeight="false" outlineLevel="0" collapsed="false">
      <c r="A6" s="162" t="s">
        <v>315</v>
      </c>
      <c r="B6" s="163"/>
      <c r="C6" s="164" t="s">
        <v>316</v>
      </c>
      <c r="D6" s="165" t="s">
        <v>317</v>
      </c>
      <c r="E6" s="165"/>
      <c r="F6" s="165"/>
      <c r="G6" s="165"/>
    </row>
    <row r="7" s="161" customFormat="true" ht="12.8" hidden="false" customHeight="false" outlineLevel="0" collapsed="false">
      <c r="A7" s="166"/>
      <c r="B7" s="167"/>
      <c r="C7" s="168"/>
      <c r="D7" s="169"/>
      <c r="E7" s="169"/>
      <c r="F7" s="169"/>
      <c r="G7" s="169"/>
    </row>
    <row r="8" s="161" customFormat="true" ht="12.75" hidden="false" customHeight="true" outlineLevel="0" collapsed="false">
      <c r="A8" s="170"/>
      <c r="B8" s="171"/>
      <c r="D8" s="159"/>
      <c r="E8" s="159"/>
      <c r="F8" s="159"/>
      <c r="G8" s="159"/>
      <c r="J8" s="172"/>
    </row>
    <row r="9" s="161" customFormat="true" ht="12.8" hidden="false" customHeight="true" outlineLevel="0" collapsed="false">
      <c r="A9" s="162" t="s">
        <v>318</v>
      </c>
      <c r="B9" s="163"/>
      <c r="C9" s="164" t="s">
        <v>316</v>
      </c>
      <c r="D9" s="173" t="s">
        <v>319</v>
      </c>
      <c r="E9" s="173"/>
      <c r="F9" s="173"/>
      <c r="G9" s="173"/>
    </row>
    <row r="10" s="161" customFormat="true" ht="12.75" hidden="false" customHeight="false" outlineLevel="0" collapsed="false">
      <c r="A10" s="174"/>
      <c r="B10" s="167"/>
      <c r="C10" s="168"/>
      <c r="D10" s="175"/>
      <c r="E10" s="175"/>
      <c r="F10" s="175"/>
      <c r="G10" s="175"/>
    </row>
    <row r="11" s="161" customFormat="true" ht="13.5" hidden="false" customHeight="true" outlineLevel="0" collapsed="false">
      <c r="A11" s="176"/>
      <c r="B11" s="171"/>
      <c r="D11" s="159"/>
      <c r="E11" s="159"/>
      <c r="F11" s="159"/>
      <c r="G11" s="159"/>
    </row>
    <row r="12" s="161" customFormat="true" ht="12.75" hidden="false" customHeight="true" outlineLevel="0" collapsed="false">
      <c r="A12" s="177" t="s">
        <v>320</v>
      </c>
      <c r="B12" s="163"/>
      <c r="C12" s="164" t="s">
        <v>316</v>
      </c>
      <c r="D12" s="173" t="s">
        <v>321</v>
      </c>
      <c r="E12" s="173"/>
      <c r="F12" s="173"/>
      <c r="G12" s="173"/>
    </row>
    <row r="13" s="180" customFormat="true" ht="12.75" hidden="false" customHeight="false" outlineLevel="0" collapsed="false">
      <c r="A13" s="178"/>
      <c r="B13" s="167"/>
      <c r="C13" s="179"/>
      <c r="D13" s="175"/>
      <c r="E13" s="175"/>
      <c r="F13" s="175"/>
      <c r="G13" s="175"/>
      <c r="K13" s="181"/>
    </row>
    <row r="14" s="180" customFormat="true" ht="14.25" hidden="false" customHeight="true" outlineLevel="0" collapsed="false">
      <c r="A14" s="176"/>
      <c r="B14" s="157"/>
      <c r="C14" s="182"/>
      <c r="D14" s="159"/>
      <c r="E14" s="159"/>
      <c r="F14" s="159"/>
      <c r="G14" s="159"/>
    </row>
    <row r="15" s="161" customFormat="true" ht="12.75" hidden="false" customHeight="true" outlineLevel="0" collapsed="false">
      <c r="A15" s="177" t="s">
        <v>322</v>
      </c>
      <c r="B15" s="163"/>
      <c r="C15" s="164" t="s">
        <v>316</v>
      </c>
      <c r="D15" s="173" t="s">
        <v>323</v>
      </c>
      <c r="E15" s="173"/>
      <c r="F15" s="173"/>
      <c r="G15" s="173"/>
    </row>
    <row r="16" s="161" customFormat="true" ht="12.75" hidden="false" customHeight="false" outlineLevel="0" collapsed="false">
      <c r="A16" s="178"/>
      <c r="B16" s="167"/>
      <c r="C16" s="168"/>
      <c r="D16" s="175"/>
      <c r="E16" s="175"/>
      <c r="F16" s="175"/>
      <c r="G16" s="175"/>
    </row>
    <row r="17" s="180" customFormat="true" ht="12.75" hidden="false" customHeight="true" outlineLevel="0" collapsed="false">
      <c r="A17" s="183"/>
      <c r="B17" s="157"/>
      <c r="C17" s="182"/>
      <c r="D17" s="159"/>
      <c r="E17" s="159"/>
      <c r="F17" s="159"/>
      <c r="G17" s="159"/>
    </row>
    <row r="18" s="161" customFormat="true" ht="12.8" hidden="false" customHeight="true" outlineLevel="0" collapsed="false">
      <c r="A18" s="162" t="s">
        <v>324</v>
      </c>
      <c r="B18" s="184"/>
      <c r="D18" s="173" t="s">
        <v>325</v>
      </c>
      <c r="E18" s="173"/>
      <c r="F18" s="173"/>
      <c r="G18" s="173"/>
    </row>
    <row r="19" s="161" customFormat="true" ht="12.75" hidden="false" customHeight="false" outlineLevel="0" collapsed="false">
      <c r="A19" s="166"/>
      <c r="B19" s="167"/>
      <c r="C19" s="168"/>
      <c r="D19" s="175"/>
      <c r="E19" s="175"/>
      <c r="F19" s="175"/>
      <c r="G19" s="175"/>
    </row>
    <row r="20" s="161" customFormat="true" ht="12.75" hidden="false" customHeight="true" outlineLevel="0" collapsed="false">
      <c r="A20" s="185"/>
      <c r="B20" s="157"/>
      <c r="C20" s="158"/>
      <c r="D20" s="159"/>
      <c r="E20" s="159"/>
      <c r="F20" s="159"/>
      <c r="G20" s="159"/>
    </row>
    <row r="21" s="161" customFormat="true" ht="12.8" hidden="false" customHeight="true" outlineLevel="0" collapsed="false">
      <c r="A21" s="162" t="s">
        <v>326</v>
      </c>
      <c r="B21" s="184"/>
      <c r="D21" s="173" t="s">
        <v>327</v>
      </c>
      <c r="E21" s="173"/>
      <c r="F21" s="173"/>
      <c r="G21" s="173"/>
    </row>
    <row r="22" s="161" customFormat="true" ht="12.75" hidden="false" customHeight="false" outlineLevel="0" collapsed="false">
      <c r="A22" s="166"/>
      <c r="B22" s="167"/>
      <c r="C22" s="168"/>
      <c r="D22" s="175"/>
      <c r="E22" s="175"/>
      <c r="F22" s="175"/>
      <c r="G22" s="175"/>
    </row>
    <row r="23" s="161" customFormat="true" ht="13.5" hidden="false" customHeight="true" outlineLevel="0" collapsed="false">
      <c r="A23" s="186"/>
      <c r="B23" s="157"/>
      <c r="C23" s="158"/>
      <c r="D23" s="160"/>
      <c r="E23" s="160"/>
      <c r="F23" s="160"/>
      <c r="G23" s="160"/>
    </row>
    <row r="24" s="161" customFormat="true" ht="12.8" hidden="false" customHeight="false" outlineLevel="0" collapsed="false">
      <c r="A24" s="162" t="s">
        <v>328</v>
      </c>
      <c r="B24" s="187"/>
      <c r="D24" s="165" t="s">
        <v>329</v>
      </c>
      <c r="E24" s="165"/>
      <c r="F24" s="165"/>
      <c r="G24" s="165"/>
    </row>
    <row r="25" s="161" customFormat="true" ht="12.75" hidden="false" customHeight="false" outlineLevel="0" collapsed="false">
      <c r="A25" s="188"/>
      <c r="B25" s="167"/>
      <c r="C25" s="168"/>
      <c r="D25" s="169"/>
      <c r="E25" s="169"/>
      <c r="F25" s="169"/>
      <c r="G25" s="169"/>
    </row>
    <row r="26" s="190" customFormat="true" ht="15" hidden="false" customHeight="false" outlineLevel="0" collapsed="false">
      <c r="A26" s="189"/>
      <c r="B26" s="143"/>
    </row>
    <row r="27" customFormat="false" ht="15" hidden="false" customHeight="false" outlineLevel="0" collapsed="false">
      <c r="B27" s="191"/>
      <c r="G27" s="142"/>
    </row>
    <row r="28" customFormat="false" ht="15" hidden="false" customHeight="false" outlineLevel="0" collapsed="false">
      <c r="B28" s="192"/>
    </row>
    <row r="29" customFormat="false" ht="15" hidden="false" customHeight="false" outlineLevel="0" collapsed="false">
      <c r="B29" s="192"/>
    </row>
    <row r="30" customFormat="false" ht="15" hidden="false" customHeight="false" outlineLevel="0" collapsed="false">
      <c r="B30" s="193"/>
    </row>
  </sheetData>
  <mergeCells count="9">
    <mergeCell ref="L1:N1"/>
    <mergeCell ref="A4:B4"/>
    <mergeCell ref="D6:G6"/>
    <mergeCell ref="D9:G9"/>
    <mergeCell ref="D12:G12"/>
    <mergeCell ref="D15:G15"/>
    <mergeCell ref="D18:G18"/>
    <mergeCell ref="D21:G21"/>
    <mergeCell ref="D24:G24"/>
  </mergeCells>
  <conditionalFormatting sqref="J1">
    <cfRule type="expression" priority="2" aboveAverage="0" equalAverage="0" bottom="0" percent="0" rank="0" text="" dxfId="2">
      <formula>$J1="Yes"</formula>
    </cfRule>
  </conditionalFormatting>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tabColor rgb="FF198CFF"/>
    <pageSetUpPr fitToPage="false"/>
  </sheetPr>
  <dimension ref="B1:L29"/>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pane xSplit="0" ySplit="1" topLeftCell="A2" activePane="bottomLeft" state="frozen"/>
      <selection pane="topLeft" activeCell="A1" activeCellId="0" sqref="A1"/>
      <selection pane="bottomLeft" activeCell="G7" activeCellId="0" sqref="G7"/>
    </sheetView>
  </sheetViews>
  <sheetFormatPr defaultRowHeight="15" zeroHeight="false" outlineLevelRow="0" outlineLevelCol="0"/>
  <cols>
    <col collapsed="false" customWidth="true" hidden="false" outlineLevel="0" max="1" min="1" style="194" width="1.62"/>
    <col collapsed="false" customWidth="true" hidden="false" outlineLevel="0" max="3" min="2" style="194" width="10.62"/>
    <col collapsed="false" customWidth="true" hidden="false" outlineLevel="0" max="4" min="4" style="194" width="9.14"/>
    <col collapsed="false" customWidth="true" hidden="false" outlineLevel="0" max="5" min="5" style="194" width="10.62"/>
    <col collapsed="false" customWidth="true" hidden="false" outlineLevel="0" max="1025" min="6" style="194" width="9.14"/>
  </cols>
  <sheetData>
    <row r="1" customFormat="false" ht="36.95" hidden="false" customHeight="true" outlineLevel="0" collapsed="false">
      <c r="B1" s="195" t="s">
        <v>330</v>
      </c>
    </row>
    <row r="2" customFormat="false" ht="15" hidden="false" customHeight="false" outlineLevel="0" collapsed="false">
      <c r="B2" s="196" t="s">
        <v>331</v>
      </c>
    </row>
    <row r="3" customFormat="false" ht="15" hidden="false" customHeight="false" outlineLevel="0" collapsed="false">
      <c r="B3" s="196" t="s">
        <v>332</v>
      </c>
    </row>
    <row r="6" customFormat="false" ht="45" hidden="false" customHeight="false" outlineLevel="0" collapsed="false">
      <c r="B6" s="197" t="s">
        <v>333</v>
      </c>
      <c r="C6" s="198" t="s">
        <v>334</v>
      </c>
      <c r="D6" s="198" t="s">
        <v>335</v>
      </c>
      <c r="E6" s="198" t="s">
        <v>336</v>
      </c>
      <c r="F6" s="198" t="s">
        <v>337</v>
      </c>
      <c r="G6" s="198" t="s">
        <v>338</v>
      </c>
      <c r="H6" s="198" t="s">
        <v>339</v>
      </c>
      <c r="I6" s="198" t="s">
        <v>340</v>
      </c>
      <c r="J6" s="198" t="s">
        <v>341</v>
      </c>
      <c r="K6" s="198" t="s">
        <v>342</v>
      </c>
      <c r="L6" s="199" t="s">
        <v>343</v>
      </c>
    </row>
    <row r="7" customFormat="false" ht="13.8" hidden="false" customHeight="false" outlineLevel="0" collapsed="false">
      <c r="B7" s="200" t="n">
        <v>43696</v>
      </c>
      <c r="C7" s="200" t="n">
        <v>43701</v>
      </c>
      <c r="D7" s="201"/>
      <c r="E7" s="201"/>
      <c r="F7" s="202" t="e">
        <f aca="false">E7/$D$29</f>
        <v>#DIV/0!</v>
      </c>
      <c r="G7" s="0"/>
      <c r="H7" s="0"/>
      <c r="I7" s="202" t="e">
        <f aca="false">H9/$D$29</f>
        <v>#DIV/0!</v>
      </c>
      <c r="J7" s="201"/>
      <c r="K7" s="201" t="n">
        <f aca="false">J7</f>
        <v>0</v>
      </c>
      <c r="L7" s="202" t="e">
        <f aca="false">K7/$D$29</f>
        <v>#DIV/0!</v>
      </c>
    </row>
    <row r="8" customFormat="false" ht="13.8" hidden="false" customHeight="false" outlineLevel="0" collapsed="false">
      <c r="B8" s="203" t="n">
        <v>43702</v>
      </c>
      <c r="C8" s="203" t="n">
        <v>43708</v>
      </c>
      <c r="D8" s="204"/>
      <c r="E8" s="204"/>
      <c r="F8" s="205" t="e">
        <f aca="false">E8/$D$29</f>
        <v>#DIV/0!</v>
      </c>
      <c r="G8" s="0"/>
      <c r="H8" s="0"/>
      <c r="I8" s="205" t="e">
        <f aca="false">H10/$D$29</f>
        <v>#DIV/0!</v>
      </c>
      <c r="J8" s="204"/>
      <c r="K8" s="204" t="n">
        <f aca="false">K7+J8</f>
        <v>0</v>
      </c>
      <c r="L8" s="205" t="e">
        <f aca="false">K8/$D$29</f>
        <v>#DIV/0!</v>
      </c>
    </row>
    <row r="9" customFormat="false" ht="13.8" hidden="false" customHeight="false" outlineLevel="0" collapsed="false">
      <c r="B9" s="203" t="n">
        <v>43709</v>
      </c>
      <c r="C9" s="203" t="n">
        <v>43715</v>
      </c>
      <c r="D9" s="204"/>
      <c r="E9" s="204"/>
      <c r="F9" s="205" t="e">
        <f aca="false">E9/$D$29</f>
        <v>#DIV/0!</v>
      </c>
      <c r="G9" s="201"/>
      <c r="H9" s="201"/>
      <c r="I9" s="205" t="e">
        <f aca="false">H11/$D$29</f>
        <v>#DIV/0!</v>
      </c>
      <c r="J9" s="204"/>
      <c r="K9" s="204" t="n">
        <f aca="false">K8+J9</f>
        <v>0</v>
      </c>
      <c r="L9" s="205" t="e">
        <f aca="false">K9/$D$29</f>
        <v>#DIV/0!</v>
      </c>
    </row>
    <row r="10" customFormat="false" ht="13.8" hidden="false" customHeight="false" outlineLevel="0" collapsed="false">
      <c r="B10" s="203" t="n">
        <v>43716</v>
      </c>
      <c r="C10" s="203" t="n">
        <v>43722</v>
      </c>
      <c r="D10" s="204"/>
      <c r="E10" s="204"/>
      <c r="F10" s="205" t="e">
        <f aca="false">E10/$D$29</f>
        <v>#DIV/0!</v>
      </c>
      <c r="G10" s="204"/>
      <c r="H10" s="204"/>
      <c r="I10" s="205" t="e">
        <f aca="false">H12/$D$29</f>
        <v>#DIV/0!</v>
      </c>
      <c r="J10" s="204"/>
      <c r="K10" s="204" t="n">
        <f aca="false">K9+J10</f>
        <v>0</v>
      </c>
      <c r="L10" s="205" t="e">
        <f aca="false">K10/$D$29</f>
        <v>#DIV/0!</v>
      </c>
    </row>
    <row r="11" customFormat="false" ht="13.8" hidden="false" customHeight="false" outlineLevel="0" collapsed="false">
      <c r="B11" s="203" t="n">
        <v>43723</v>
      </c>
      <c r="C11" s="203" t="n">
        <v>43729</v>
      </c>
      <c r="D11" s="204"/>
      <c r="E11" s="204"/>
      <c r="F11" s="205" t="e">
        <f aca="false">E11/$D$29</f>
        <v>#DIV/0!</v>
      </c>
      <c r="G11" s="204"/>
      <c r="H11" s="204"/>
      <c r="I11" s="205" t="e">
        <f aca="false">H13/$D$29</f>
        <v>#DIV/0!</v>
      </c>
      <c r="J11" s="204"/>
      <c r="K11" s="204" t="n">
        <f aca="false">K10+J11</f>
        <v>0</v>
      </c>
      <c r="L11" s="205" t="e">
        <f aca="false">K11/$D$29</f>
        <v>#DIV/0!</v>
      </c>
    </row>
    <row r="12" customFormat="false" ht="13.8" hidden="false" customHeight="false" outlineLevel="0" collapsed="false">
      <c r="B12" s="203" t="n">
        <v>43730</v>
      </c>
      <c r="C12" s="203" t="n">
        <v>43736</v>
      </c>
      <c r="D12" s="204"/>
      <c r="E12" s="204"/>
      <c r="F12" s="205" t="e">
        <f aca="false">E12/$D$29</f>
        <v>#DIV/0!</v>
      </c>
      <c r="G12" s="204"/>
      <c r="H12" s="204"/>
      <c r="I12" s="205" t="e">
        <f aca="false">H13/$D$29</f>
        <v>#DIV/0!</v>
      </c>
      <c r="J12" s="204"/>
      <c r="K12" s="204" t="n">
        <f aca="false">K11+J12</f>
        <v>0</v>
      </c>
      <c r="L12" s="205" t="e">
        <f aca="false">K12/$D$29</f>
        <v>#DIV/0!</v>
      </c>
    </row>
    <row r="13" customFormat="false" ht="13.8" hidden="false" customHeight="false" outlineLevel="0" collapsed="false">
      <c r="B13" s="203" t="n">
        <v>43737</v>
      </c>
      <c r="C13" s="203" t="n">
        <v>43743</v>
      </c>
      <c r="D13" s="204"/>
      <c r="E13" s="204"/>
      <c r="F13" s="205" t="e">
        <f aca="false">E13/$D$29</f>
        <v>#DIV/0!</v>
      </c>
      <c r="G13" s="204"/>
      <c r="H13" s="204"/>
      <c r="I13" s="204"/>
      <c r="J13" s="204"/>
      <c r="K13" s="204"/>
      <c r="L13" s="204"/>
    </row>
    <row r="14" customFormat="false" ht="13.8" hidden="false" customHeight="false" outlineLevel="0" collapsed="false">
      <c r="B14" s="203" t="n">
        <v>43744</v>
      </c>
      <c r="C14" s="203" t="n">
        <v>43750</v>
      </c>
      <c r="D14" s="204"/>
      <c r="E14" s="204"/>
      <c r="F14" s="205" t="e">
        <f aca="false">E14/$D$29</f>
        <v>#DIV/0!</v>
      </c>
      <c r="G14" s="204"/>
      <c r="H14" s="204"/>
      <c r="I14" s="204"/>
      <c r="J14" s="204"/>
      <c r="K14" s="204"/>
      <c r="L14" s="204"/>
    </row>
    <row r="15" customFormat="false" ht="13.8" hidden="false" customHeight="false" outlineLevel="0" collapsed="false">
      <c r="B15" s="203" t="n">
        <v>43751</v>
      </c>
      <c r="C15" s="203" t="n">
        <v>43757</v>
      </c>
      <c r="D15" s="204"/>
      <c r="E15" s="204"/>
      <c r="F15" s="205" t="e">
        <f aca="false">E15/$D$29</f>
        <v>#DIV/0!</v>
      </c>
      <c r="G15" s="204"/>
      <c r="H15" s="204"/>
      <c r="I15" s="204"/>
      <c r="J15" s="204"/>
      <c r="K15" s="204"/>
      <c r="L15" s="204"/>
    </row>
    <row r="16" customFormat="false" ht="13.8" hidden="false" customHeight="false" outlineLevel="0" collapsed="false">
      <c r="B16" s="203" t="n">
        <v>43758</v>
      </c>
      <c r="C16" s="203" t="n">
        <v>43764</v>
      </c>
      <c r="D16" s="204"/>
      <c r="E16" s="204"/>
      <c r="F16" s="205" t="e">
        <f aca="false">E16/$D$29</f>
        <v>#DIV/0!</v>
      </c>
      <c r="G16" s="204"/>
      <c r="H16" s="204"/>
      <c r="I16" s="204"/>
      <c r="J16" s="204"/>
      <c r="K16" s="204"/>
      <c r="L16" s="204"/>
    </row>
    <row r="17" customFormat="false" ht="13.8" hidden="false" customHeight="false" outlineLevel="0" collapsed="false">
      <c r="B17" s="203" t="n">
        <v>43765</v>
      </c>
      <c r="C17" s="203" t="n">
        <v>43771</v>
      </c>
      <c r="D17" s="204"/>
      <c r="E17" s="204"/>
      <c r="F17" s="205" t="e">
        <f aca="false">E17/$D$29</f>
        <v>#DIV/0!</v>
      </c>
      <c r="G17" s="204"/>
      <c r="H17" s="204"/>
      <c r="I17" s="204"/>
      <c r="J17" s="204"/>
      <c r="K17" s="204"/>
      <c r="L17" s="204"/>
    </row>
    <row r="18" customFormat="false" ht="13.8" hidden="false" customHeight="false" outlineLevel="0" collapsed="false">
      <c r="B18" s="203" t="n">
        <v>43772</v>
      </c>
      <c r="C18" s="203" t="n">
        <v>43778</v>
      </c>
      <c r="D18" s="204"/>
      <c r="E18" s="204"/>
      <c r="F18" s="205" t="e">
        <f aca="false">E18/$D$29</f>
        <v>#DIV/0!</v>
      </c>
      <c r="G18" s="204"/>
      <c r="H18" s="204"/>
      <c r="I18" s="204"/>
      <c r="J18" s="204"/>
      <c r="K18" s="204"/>
      <c r="L18" s="204"/>
    </row>
    <row r="19" customFormat="false" ht="13.8" hidden="false" customHeight="false" outlineLevel="0" collapsed="false">
      <c r="B19" s="203" t="n">
        <v>43779</v>
      </c>
      <c r="C19" s="203" t="n">
        <v>43785</v>
      </c>
      <c r="D19" s="204"/>
      <c r="E19" s="204"/>
      <c r="F19" s="205" t="e">
        <f aca="false">E19/$D$29</f>
        <v>#DIV/0!</v>
      </c>
      <c r="G19" s="204"/>
      <c r="H19" s="204"/>
      <c r="I19" s="204"/>
      <c r="J19" s="204"/>
      <c r="K19" s="204"/>
      <c r="L19" s="204"/>
    </row>
    <row r="20" customFormat="false" ht="13.8" hidden="false" customHeight="false" outlineLevel="0" collapsed="false">
      <c r="B20" s="203" t="n">
        <v>43786</v>
      </c>
      <c r="C20" s="203" t="n">
        <v>43792</v>
      </c>
      <c r="D20" s="204"/>
      <c r="E20" s="204"/>
      <c r="F20" s="205" t="e">
        <f aca="false">E20/$D$29</f>
        <v>#DIV/0!</v>
      </c>
      <c r="G20" s="204"/>
      <c r="H20" s="204"/>
      <c r="I20" s="204"/>
      <c r="J20" s="204"/>
      <c r="K20" s="204"/>
      <c r="L20" s="204"/>
    </row>
    <row r="21" customFormat="false" ht="13.8" hidden="false" customHeight="false" outlineLevel="0" collapsed="false">
      <c r="B21" s="203" t="n">
        <v>43793</v>
      </c>
      <c r="C21" s="203" t="n">
        <v>43799</v>
      </c>
      <c r="D21" s="204"/>
      <c r="E21" s="204"/>
      <c r="F21" s="205" t="e">
        <f aca="false">E21/$D$29</f>
        <v>#DIV/0!</v>
      </c>
      <c r="G21" s="204"/>
      <c r="H21" s="204"/>
      <c r="I21" s="204"/>
      <c r="J21" s="204"/>
      <c r="K21" s="204"/>
      <c r="L21" s="204"/>
    </row>
    <row r="22" customFormat="false" ht="13.8" hidden="false" customHeight="false" outlineLevel="0" collapsed="false">
      <c r="B22" s="203" t="n">
        <v>43800</v>
      </c>
      <c r="C22" s="203" t="n">
        <v>43806</v>
      </c>
      <c r="D22" s="204"/>
      <c r="E22" s="204"/>
      <c r="F22" s="205" t="e">
        <f aca="false">E22/$D$29</f>
        <v>#DIV/0!</v>
      </c>
      <c r="G22" s="204"/>
      <c r="H22" s="204"/>
      <c r="I22" s="204"/>
      <c r="J22" s="204"/>
      <c r="K22" s="204"/>
      <c r="L22" s="204"/>
    </row>
    <row r="23" customFormat="false" ht="13.8" hidden="false" customHeight="false" outlineLevel="0" collapsed="false">
      <c r="B23" s="203" t="n">
        <v>43807</v>
      </c>
      <c r="C23" s="203" t="n">
        <v>43813</v>
      </c>
      <c r="D23" s="204"/>
      <c r="E23" s="204"/>
      <c r="F23" s="205" t="e">
        <f aca="false">E23/$D$29</f>
        <v>#DIV/0!</v>
      </c>
      <c r="G23" s="204"/>
      <c r="H23" s="204"/>
      <c r="I23" s="204"/>
      <c r="J23" s="204"/>
      <c r="K23" s="204"/>
      <c r="L23" s="204"/>
    </row>
    <row r="24" customFormat="false" ht="13.8" hidden="false" customHeight="false" outlineLevel="0" collapsed="false">
      <c r="B24" s="203" t="n">
        <v>43814</v>
      </c>
      <c r="C24" s="203" t="n">
        <v>43820</v>
      </c>
      <c r="D24" s="204"/>
      <c r="E24" s="204"/>
      <c r="F24" s="205" t="e">
        <f aca="false">E24/$D$29</f>
        <v>#DIV/0!</v>
      </c>
      <c r="G24" s="204"/>
      <c r="H24" s="204"/>
      <c r="I24" s="204"/>
      <c r="J24" s="204"/>
      <c r="K24" s="204"/>
      <c r="L24" s="204"/>
    </row>
    <row r="25" customFormat="false" ht="13.8" hidden="false" customHeight="false" outlineLevel="0" collapsed="false">
      <c r="B25" s="203" t="n">
        <v>43821</v>
      </c>
      <c r="C25" s="203" t="n">
        <v>43827</v>
      </c>
      <c r="D25" s="204"/>
      <c r="E25" s="204"/>
      <c r="F25" s="205" t="e">
        <f aca="false">E25/$D$29</f>
        <v>#DIV/0!</v>
      </c>
      <c r="G25" s="204"/>
      <c r="H25" s="204"/>
      <c r="I25" s="204"/>
      <c r="J25" s="204"/>
      <c r="K25" s="204"/>
      <c r="L25" s="204"/>
    </row>
    <row r="26" customFormat="false" ht="13.8" hidden="false" customHeight="false" outlineLevel="0" collapsed="false">
      <c r="B26" s="203" t="n">
        <v>43828</v>
      </c>
      <c r="C26" s="203" t="n">
        <v>43834</v>
      </c>
      <c r="D26" s="204"/>
      <c r="E26" s="204"/>
      <c r="F26" s="205" t="e">
        <f aca="false">E26/$D$29</f>
        <v>#DIV/0!</v>
      </c>
      <c r="G26" s="204"/>
      <c r="H26" s="204"/>
      <c r="I26" s="204"/>
      <c r="J26" s="204"/>
      <c r="K26" s="204"/>
      <c r="L26" s="204"/>
    </row>
    <row r="27" customFormat="false" ht="13.8" hidden="false" customHeight="false" outlineLevel="0" collapsed="false">
      <c r="B27" s="203" t="n">
        <v>43835</v>
      </c>
      <c r="C27" s="203" t="n">
        <v>43841</v>
      </c>
      <c r="D27" s="204"/>
      <c r="E27" s="204"/>
      <c r="F27" s="205" t="e">
        <f aca="false">E27/$D$29</f>
        <v>#DIV/0!</v>
      </c>
      <c r="G27" s="204"/>
      <c r="H27" s="204"/>
      <c r="I27" s="204"/>
      <c r="J27" s="204"/>
      <c r="K27" s="204"/>
      <c r="L27" s="204"/>
    </row>
    <row r="28" customFormat="false" ht="13.8" hidden="false" customHeight="false" outlineLevel="0" collapsed="false">
      <c r="B28" s="203" t="n">
        <v>43842</v>
      </c>
      <c r="C28" s="203" t="n">
        <v>43848</v>
      </c>
      <c r="D28" s="204"/>
      <c r="E28" s="204"/>
      <c r="F28" s="205" t="e">
        <f aca="false">E28/$D$29</f>
        <v>#DIV/0!</v>
      </c>
      <c r="G28" s="204"/>
      <c r="H28" s="204"/>
      <c r="I28" s="204"/>
      <c r="J28" s="204"/>
      <c r="K28" s="204"/>
      <c r="L28" s="204"/>
    </row>
    <row r="29" customFormat="false" ht="15" hidden="false" customHeight="false" outlineLevel="0" collapsed="false">
      <c r="C29" s="196" t="s">
        <v>344</v>
      </c>
      <c r="D29" s="194" t="n">
        <f aca="false">SUM(D7:D28)</f>
        <v>0</v>
      </c>
      <c r="G29" s="194" t="n">
        <f aca="false">SUM(G7:G28)</f>
        <v>0</v>
      </c>
      <c r="J29" s="194" t="n">
        <f aca="false">SUM(J7:J28)</f>
        <v>0</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sheetPr filterMode="false">
    <tabColor rgb="FFFFC000"/>
    <pageSetUpPr fitToPage="false"/>
  </sheetPr>
  <dimension ref="A1:J305"/>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pane xSplit="0" ySplit="1" topLeftCell="A2" activePane="bottomLeft" state="frozen"/>
      <selection pane="topLeft" activeCell="A1" activeCellId="0" sqref="A1"/>
      <selection pane="bottomLeft" activeCell="B5" activeCellId="0" sqref="B5"/>
    </sheetView>
  </sheetViews>
  <sheetFormatPr defaultRowHeight="15" zeroHeight="false" outlineLevelRow="0" outlineLevelCol="0"/>
  <cols>
    <col collapsed="false" customWidth="true" hidden="false" outlineLevel="0" max="1" min="1" style="206" width="31.62"/>
    <col collapsed="false" customWidth="true" hidden="false" outlineLevel="0" max="2" min="2" style="206" width="14.5"/>
    <col collapsed="false" customWidth="true" hidden="false" outlineLevel="0" max="3" min="3" style="206" width="7.63"/>
    <col collapsed="false" customWidth="true" hidden="false" outlineLevel="0" max="4" min="4" style="206" width="21.52"/>
    <col collapsed="false" customWidth="true" hidden="false" outlineLevel="0" max="5" min="5" style="206" width="14.13"/>
    <col collapsed="false" customWidth="true" hidden="false" outlineLevel="0" max="6" min="6" style="206" width="10"/>
    <col collapsed="false" customWidth="true" hidden="false" outlineLevel="0" max="7" min="7" style="206" width="24.25"/>
    <col collapsed="false" customWidth="true" hidden="false" outlineLevel="0" max="8" min="8" style="206" width="18.38"/>
    <col collapsed="false" customWidth="true" hidden="false" outlineLevel="0" max="9" min="9" style="206" width="11.13"/>
    <col collapsed="false" customWidth="true" hidden="false" outlineLevel="0" max="10" min="10" style="206" width="27.38"/>
    <col collapsed="false" customWidth="true" hidden="false" outlineLevel="0" max="1025" min="11" style="206" width="10"/>
  </cols>
  <sheetData>
    <row r="1" customFormat="false" ht="36.95" hidden="false" customHeight="true" outlineLevel="0" collapsed="false">
      <c r="A1" s="145" t="s">
        <v>345</v>
      </c>
      <c r="B1" s="145"/>
      <c r="C1" s="145"/>
      <c r="D1" s="145"/>
      <c r="E1" s="145"/>
      <c r="F1" s="145"/>
      <c r="G1" s="145"/>
      <c r="H1" s="145"/>
    </row>
    <row r="2" s="208" customFormat="true" ht="78.75" hidden="false" customHeight="true" outlineLevel="0" collapsed="false">
      <c r="A2" s="207" t="s">
        <v>346</v>
      </c>
      <c r="B2" s="207"/>
      <c r="C2" s="207"/>
      <c r="D2" s="207"/>
      <c r="E2" s="207"/>
      <c r="F2" s="207"/>
      <c r="G2" s="207"/>
      <c r="H2" s="207"/>
    </row>
    <row r="3" s="208" customFormat="true" ht="24.75" hidden="false" customHeight="true" outlineLevel="0" collapsed="false">
      <c r="A3" s="209" t="s">
        <v>347</v>
      </c>
      <c r="B3" s="209"/>
      <c r="D3" s="209" t="s">
        <v>348</v>
      </c>
      <c r="E3" s="209"/>
      <c r="G3" s="209" t="s">
        <v>349</v>
      </c>
      <c r="H3" s="209"/>
    </row>
    <row r="4" s="211" customFormat="true" ht="19.5" hidden="false" customHeight="true" outlineLevel="0" collapsed="false">
      <c r="A4" s="210" t="s">
        <v>350</v>
      </c>
      <c r="B4" s="210" t="s">
        <v>351</v>
      </c>
      <c r="D4" s="210" t="s">
        <v>350</v>
      </c>
      <c r="E4" s="210" t="s">
        <v>351</v>
      </c>
      <c r="G4" s="210" t="s">
        <v>350</v>
      </c>
      <c r="H4" s="210" t="s">
        <v>351</v>
      </c>
    </row>
    <row r="5" s="214" customFormat="true" ht="16.5" hidden="false" customHeight="false" outlineLevel="0" collapsed="false">
      <c r="A5" s="212" t="s">
        <v>352</v>
      </c>
      <c r="B5" s="213" t="n">
        <v>43466</v>
      </c>
      <c r="C5" s="214" t="str">
        <f aca="false">IF(B5&gt;0,TEXT(B5,"(aaa)"),"")</f>
        <v>(火)</v>
      </c>
      <c r="D5" s="215"/>
      <c r="E5" s="216"/>
      <c r="F5" s="214" t="str">
        <f aca="false">IF(E5&gt;0,TEXT(E5,"(aaa)"),"")</f>
        <v/>
      </c>
      <c r="G5" s="215"/>
      <c r="H5" s="216"/>
      <c r="I5" s="214" t="str">
        <f aca="false">IF(H5&gt;0,TEXT(H5,"(aaa)"),"")</f>
        <v/>
      </c>
    </row>
    <row r="6" s="214" customFormat="true" ht="16.5" hidden="false" customHeight="false" outlineLevel="0" collapsed="false">
      <c r="A6" s="212" t="s">
        <v>353</v>
      </c>
      <c r="B6" s="213" t="n">
        <v>43500</v>
      </c>
      <c r="C6" s="214" t="str">
        <f aca="false">IF(B6&gt;0,TEXT(B6,"(aaa)"),"")</f>
        <v>(月)</v>
      </c>
      <c r="D6" s="215"/>
      <c r="E6" s="216"/>
      <c r="F6" s="214" t="str">
        <f aca="false">IF(E6&gt;0,TEXT(E6,"(aaa)"),"")</f>
        <v/>
      </c>
      <c r="G6" s="215"/>
      <c r="H6" s="216"/>
      <c r="I6" s="214" t="str">
        <f aca="false">IF(H6&gt;0,TEXT(H6,"(aaa)"),"")</f>
        <v/>
      </c>
    </row>
    <row r="7" s="214" customFormat="true" ht="16.5" hidden="false" customHeight="false" outlineLevel="0" collapsed="false">
      <c r="A7" s="212" t="s">
        <v>354</v>
      </c>
      <c r="B7" s="213" t="n">
        <v>43501</v>
      </c>
      <c r="C7" s="214" t="str">
        <f aca="false">IF(B7&gt;0,TEXT(B7,"(aaa)"),"")</f>
        <v>(火)</v>
      </c>
      <c r="D7" s="215"/>
      <c r="E7" s="216"/>
      <c r="F7" s="214" t="str">
        <f aca="false">IF(E7&gt;0,TEXT(E7,"(aaa)"),"")</f>
        <v/>
      </c>
      <c r="G7" s="215"/>
      <c r="H7" s="216"/>
      <c r="I7" s="214" t="str">
        <f aca="false">IF(H7&gt;0,TEXT(H7,"(aaa)"),"")</f>
        <v/>
      </c>
    </row>
    <row r="8" s="214" customFormat="true" ht="16.5" hidden="false" customHeight="false" outlineLevel="0" collapsed="false">
      <c r="A8" s="212" t="s">
        <v>353</v>
      </c>
      <c r="B8" s="213" t="n">
        <v>43502</v>
      </c>
      <c r="C8" s="214" t="str">
        <f aca="false">IF(B8&gt;0,TEXT(B8,"(aaa)"),"")</f>
        <v>(水)</v>
      </c>
      <c r="D8" s="215"/>
      <c r="E8" s="216"/>
      <c r="F8" s="214" t="str">
        <f aca="false">IF(E8&gt;0,TEXT(E8,"(aaa)"),"")</f>
        <v/>
      </c>
      <c r="G8" s="215"/>
      <c r="H8" s="216"/>
      <c r="I8" s="214" t="str">
        <f aca="false">IF(H8&gt;0,TEXT(H8,"(aaa)"),"")</f>
        <v/>
      </c>
    </row>
    <row r="9" s="214" customFormat="true" ht="16.5" hidden="false" customHeight="false" outlineLevel="0" collapsed="false">
      <c r="A9" s="212" t="s">
        <v>355</v>
      </c>
      <c r="B9" s="213" t="n">
        <v>43525</v>
      </c>
      <c r="C9" s="214" t="str">
        <f aca="false">IF(B9&gt;0,TEXT(B9,"(aaa)"),"")</f>
        <v>(金)</v>
      </c>
      <c r="D9" s="215"/>
      <c r="E9" s="216"/>
      <c r="F9" s="214" t="str">
        <f aca="false">IF(E9&gt;0,TEXT(E9,"(aaa)"),"")</f>
        <v/>
      </c>
      <c r="G9" s="215"/>
      <c r="H9" s="216"/>
      <c r="I9" s="214" t="str">
        <f aca="false">IF(H9&gt;0,TEXT(H9,"(aaa)"),"")</f>
        <v/>
      </c>
    </row>
    <row r="10" s="214" customFormat="true" ht="16.5" hidden="false" customHeight="false" outlineLevel="0" collapsed="false">
      <c r="A10" s="212" t="s">
        <v>356</v>
      </c>
      <c r="B10" s="213" t="n">
        <v>43591</v>
      </c>
      <c r="C10" s="214" t="str">
        <f aca="false">IF(B10&gt;0,TEXT(B10,"(aaa)"),"")</f>
        <v>(月)</v>
      </c>
      <c r="D10" s="215"/>
      <c r="E10" s="216"/>
      <c r="F10" s="214" t="str">
        <f aca="false">IF(E10&gt;0,TEXT(E10,"(aaa)"),"")</f>
        <v/>
      </c>
      <c r="G10" s="215"/>
      <c r="H10" s="216"/>
      <c r="I10" s="214" t="str">
        <f aca="false">IF(H10&gt;0,TEXT(H10,"(aaa)"),"")</f>
        <v/>
      </c>
    </row>
    <row r="11" s="214" customFormat="true" ht="16.5" hidden="false" customHeight="false" outlineLevel="0" collapsed="false">
      <c r="A11" s="212" t="s">
        <v>357</v>
      </c>
      <c r="B11" s="213" t="n">
        <v>43622</v>
      </c>
      <c r="C11" s="214" t="str">
        <f aca="false">IF(B11&gt;0,TEXT(B11,"(aaa)"),"")</f>
        <v>(木)</v>
      </c>
      <c r="D11" s="215"/>
      <c r="E11" s="216"/>
      <c r="F11" s="214" t="str">
        <f aca="false">IF(E11&gt;0,TEXT(E11,"(aaa)"),"")</f>
        <v/>
      </c>
      <c r="G11" s="215"/>
      <c r="H11" s="216"/>
      <c r="I11" s="214" t="str">
        <f aca="false">IF(H11&gt;0,TEXT(H11,"(aaa)"),"")</f>
        <v/>
      </c>
    </row>
    <row r="12" s="214" customFormat="true" ht="16.5" hidden="false" customHeight="false" outlineLevel="0" collapsed="false">
      <c r="A12" s="212" t="s">
        <v>358</v>
      </c>
      <c r="B12" s="213" t="n">
        <v>43692</v>
      </c>
      <c r="C12" s="214" t="str">
        <f aca="false">IF(B12&gt;0,TEXT(B12,"(aaa)"),"")</f>
        <v>(木)</v>
      </c>
      <c r="D12" s="215"/>
      <c r="E12" s="216"/>
      <c r="F12" s="214" t="str">
        <f aca="false">IF(E12&gt;0,TEXT(E12,"(aaa)"),"")</f>
        <v/>
      </c>
      <c r="G12" s="215"/>
      <c r="H12" s="216"/>
      <c r="I12" s="214" t="str">
        <f aca="false">IF(H12&gt;0,TEXT(H12,"(aaa)"),"")</f>
        <v/>
      </c>
    </row>
    <row r="13" s="214" customFormat="true" ht="16.5" hidden="false" customHeight="false" outlineLevel="0" collapsed="false">
      <c r="A13" s="212" t="s">
        <v>359</v>
      </c>
      <c r="B13" s="213" t="n">
        <v>43720</v>
      </c>
      <c r="C13" s="214" t="str">
        <f aca="false">IF(B13&gt;0,TEXT(B13,"(aaa)"),"")</f>
        <v>(木)</v>
      </c>
      <c r="D13" s="215"/>
      <c r="E13" s="216"/>
      <c r="F13" s="214" t="str">
        <f aca="false">IF(E13&gt;0,TEXT(E13,"(aaa)"),"")</f>
        <v/>
      </c>
      <c r="G13" s="215"/>
      <c r="H13" s="216"/>
      <c r="I13" s="214" t="str">
        <f aca="false">IF(H13&gt;0,TEXT(H13,"(aaa)"),"")</f>
        <v/>
      </c>
    </row>
    <row r="14" s="214" customFormat="true" ht="16.5" hidden="false" customHeight="false" outlineLevel="0" collapsed="false">
      <c r="A14" s="212" t="s">
        <v>360</v>
      </c>
      <c r="B14" s="213" t="n">
        <v>43721</v>
      </c>
      <c r="C14" s="214" t="str">
        <f aca="false">IF(B14&gt;0,TEXT(B14,"(aaa)"),"")</f>
        <v>(金)</v>
      </c>
      <c r="D14" s="215"/>
      <c r="E14" s="216"/>
      <c r="F14" s="214" t="str">
        <f aca="false">IF(E14&gt;0,TEXT(E14,"(aaa)"),"")</f>
        <v/>
      </c>
      <c r="G14" s="215"/>
      <c r="H14" s="216"/>
      <c r="I14" s="214" t="str">
        <f aca="false">IF(H14&gt;0,TEXT(H14,"(aaa)"),"")</f>
        <v/>
      </c>
    </row>
    <row r="15" s="214" customFormat="true" ht="16.5" hidden="false" customHeight="false" outlineLevel="0" collapsed="false">
      <c r="A15" s="212" t="s">
        <v>361</v>
      </c>
      <c r="B15" s="213" t="n">
        <v>43741</v>
      </c>
      <c r="C15" s="214" t="str">
        <f aca="false">IF(B15&gt;0,TEXT(B15,"(aaa)"),"")</f>
        <v>(木)</v>
      </c>
      <c r="D15" s="215"/>
      <c r="E15" s="216"/>
      <c r="F15" s="214" t="str">
        <f aca="false">IF(E15&gt;0,TEXT(E15,"(aaa)"),"")</f>
        <v/>
      </c>
      <c r="G15" s="215"/>
      <c r="H15" s="216"/>
      <c r="I15" s="214" t="str">
        <f aca="false">IF(H15&gt;0,TEXT(H15,"(aaa)"),"")</f>
        <v/>
      </c>
    </row>
    <row r="16" s="214" customFormat="true" ht="16.5" hidden="false" customHeight="false" outlineLevel="0" collapsed="false">
      <c r="A16" s="212" t="s">
        <v>362</v>
      </c>
      <c r="B16" s="213" t="n">
        <v>43747</v>
      </c>
      <c r="C16" s="214" t="str">
        <f aca="false">IF(B16&gt;0,TEXT(B16,"(aaa)"),"")</f>
        <v>(水)</v>
      </c>
      <c r="D16" s="215"/>
      <c r="E16" s="216"/>
      <c r="F16" s="214" t="str">
        <f aca="false">IF(E16&gt;0,TEXT(E16,"(aaa)"),"")</f>
        <v/>
      </c>
      <c r="G16" s="215"/>
      <c r="H16" s="216"/>
      <c r="I16" s="214" t="str">
        <f aca="false">IF(H16&gt;0,TEXT(H16,"(aaa)"),"")</f>
        <v/>
      </c>
    </row>
    <row r="17" s="214" customFormat="true" ht="16.5" hidden="false" customHeight="false" outlineLevel="0" collapsed="false">
      <c r="A17" s="212" t="s">
        <v>363</v>
      </c>
      <c r="B17" s="213" t="n">
        <v>43824</v>
      </c>
      <c r="C17" s="214" t="str">
        <f aca="false">IF(B17&gt;0,TEXT(B17,"(aaa)"),"")</f>
        <v>(水)</v>
      </c>
      <c r="D17" s="215"/>
      <c r="E17" s="216"/>
      <c r="F17" s="214" t="str">
        <f aca="false">IF(E17&gt;0,TEXT(E17,"(aaa)"),"")</f>
        <v/>
      </c>
      <c r="G17" s="215"/>
      <c r="H17" s="216"/>
      <c r="I17" s="214" t="str">
        <f aca="false">IF(H17&gt;0,TEXT(H17,"(aaa)"),"")</f>
        <v/>
      </c>
    </row>
    <row r="18" s="214" customFormat="true" ht="16.5" hidden="false" customHeight="false" outlineLevel="0" collapsed="false">
      <c r="A18" s="212" t="s">
        <v>364</v>
      </c>
      <c r="B18" s="213" t="n">
        <v>43831</v>
      </c>
      <c r="C18" s="214" t="str">
        <f aca="false">IF(B18&gt;0,TEXT(B18,"(aaa)"),"")</f>
        <v>(水)</v>
      </c>
      <c r="D18" s="215"/>
      <c r="E18" s="216"/>
      <c r="F18" s="214" t="str">
        <f aca="false">IF(E18&gt;0,TEXT(E18,"(aaa)"),"")</f>
        <v/>
      </c>
      <c r="G18" s="215"/>
      <c r="H18" s="216"/>
      <c r="I18" s="214" t="str">
        <f aca="false">IF(H18&gt;0,TEXT(H18,"(aaa)"),"")</f>
        <v/>
      </c>
    </row>
    <row r="19" s="214" customFormat="true" ht="17.25" hidden="false" customHeight="false" outlineLevel="0" collapsed="false">
      <c r="A19" s="212" t="s">
        <v>365</v>
      </c>
      <c r="B19" s="213" t="n">
        <v>43854</v>
      </c>
      <c r="C19" s="214" t="str">
        <f aca="false">IF(B19&gt;0,TEXT(B19,"(aaa)"),"")</f>
        <v>(金)</v>
      </c>
      <c r="D19" s="215"/>
      <c r="E19" s="216"/>
      <c r="F19" s="214" t="str">
        <f aca="false">IF(E19&gt;0,TEXT(E19,"(aaa)"),"")</f>
        <v/>
      </c>
      <c r="G19" s="215"/>
      <c r="H19" s="216"/>
      <c r="I19" s="214" t="str">
        <f aca="false">IF(H19&gt;0,TEXT(H19,"(aaa)"),"")</f>
        <v/>
      </c>
      <c r="J19" s="217"/>
    </row>
    <row r="20" s="214" customFormat="true" ht="17.25" hidden="false" customHeight="false" outlineLevel="0" collapsed="false">
      <c r="A20" s="212" t="s">
        <v>366</v>
      </c>
      <c r="B20" s="213" t="n">
        <v>43857</v>
      </c>
      <c r="C20" s="214" t="str">
        <f aca="false">IF(B20&gt;0,TEXT(B20,"(aaa)"),"")</f>
        <v>(月)</v>
      </c>
      <c r="D20" s="215"/>
      <c r="E20" s="216"/>
      <c r="F20" s="214" t="str">
        <f aca="false">IF(E20&gt;0,TEXT(E20,"(aaa)"),"")</f>
        <v/>
      </c>
      <c r="G20" s="215"/>
      <c r="H20" s="216"/>
      <c r="I20" s="214" t="str">
        <f aca="false">IF(H20&gt;0,TEXT(H20,"(aaa)"),"")</f>
        <v/>
      </c>
      <c r="J20" s="217"/>
    </row>
    <row r="21" s="214" customFormat="true" ht="16.5" hidden="false" customHeight="false" outlineLevel="0" collapsed="false">
      <c r="A21" s="212" t="s">
        <v>367</v>
      </c>
      <c r="B21" s="213" t="n">
        <v>43936</v>
      </c>
      <c r="C21" s="214" t="str">
        <f aca="false">IF(B21&gt;0,TEXT(B21,"(aaa)"),"")</f>
        <v>(水)</v>
      </c>
      <c r="D21" s="215"/>
      <c r="E21" s="216"/>
      <c r="F21" s="214" t="str">
        <f aca="false">IF(E21&gt;0,TEXT(E21,"(aaa)"),"")</f>
        <v/>
      </c>
      <c r="G21" s="215"/>
      <c r="H21" s="216"/>
      <c r="I21" s="214" t="str">
        <f aca="false">IF(H21&gt;0,TEXT(H21,"(aaa)"),"")</f>
        <v/>
      </c>
    </row>
    <row r="22" s="214" customFormat="true" ht="16.5" hidden="false" customHeight="false" outlineLevel="0" collapsed="false">
      <c r="A22" s="212" t="s">
        <v>368</v>
      </c>
      <c r="B22" s="213" t="n">
        <v>43951</v>
      </c>
      <c r="C22" s="214" t="str">
        <f aca="false">IF(B22&gt;0,TEXT(B22,"(aaa)"),"")</f>
        <v>(木)</v>
      </c>
      <c r="D22" s="215"/>
      <c r="E22" s="216"/>
      <c r="F22" s="214" t="str">
        <f aca="false">IF(E22&gt;0,TEXT(E22,"(aaa)"),"")</f>
        <v/>
      </c>
      <c r="G22" s="215"/>
      <c r="H22" s="216"/>
      <c r="I22" s="214" t="str">
        <f aca="false">IF(H22&gt;0,TEXT(H22,"(aaa)"),"")</f>
        <v/>
      </c>
    </row>
    <row r="23" s="214" customFormat="true" ht="16.5" hidden="false" customHeight="false" outlineLevel="0" collapsed="false">
      <c r="A23" s="212" t="s">
        <v>369</v>
      </c>
      <c r="B23" s="213" t="n">
        <v>43956</v>
      </c>
      <c r="C23" s="214" t="str">
        <f aca="false">IF(B23&gt;0,TEXT(B23,"(aaa)"),"")</f>
        <v>(火)</v>
      </c>
      <c r="D23" s="215"/>
      <c r="E23" s="216"/>
      <c r="F23" s="214" t="str">
        <f aca="false">IF(E23&gt;0,TEXT(E23,"(aaa)"),"")</f>
        <v/>
      </c>
      <c r="G23" s="215"/>
      <c r="H23" s="216"/>
      <c r="I23" s="214" t="str">
        <f aca="false">IF(H23&gt;0,TEXT(H23,"(aaa)"),"")</f>
        <v/>
      </c>
    </row>
    <row r="24" s="214" customFormat="true" ht="16.5" hidden="false" customHeight="false" outlineLevel="0" collapsed="false">
      <c r="A24" s="212" t="s">
        <v>370</v>
      </c>
      <c r="B24" s="213" t="n">
        <v>44104</v>
      </c>
      <c r="C24" s="214" t="str">
        <f aca="false">IF(B24&gt;0,TEXT(B24,"(aaa)"),"")</f>
        <v>(水)</v>
      </c>
      <c r="D24" s="215"/>
      <c r="E24" s="216"/>
      <c r="F24" s="214" t="str">
        <f aca="false">IF(E24&gt;0,TEXT(E24,"(aaa)"),"")</f>
        <v/>
      </c>
      <c r="G24" s="215"/>
      <c r="H24" s="216"/>
      <c r="I24" s="214" t="str">
        <f aca="false">IF(H24&gt;0,TEXT(H24,"(aaa)"),"")</f>
        <v/>
      </c>
    </row>
    <row r="25" s="214" customFormat="true" ht="16.5" hidden="false" customHeight="false" outlineLevel="0" collapsed="false">
      <c r="A25" s="212" t="s">
        <v>371</v>
      </c>
      <c r="B25" s="213" t="n">
        <v>44105</v>
      </c>
      <c r="C25" s="214" t="str">
        <f aca="false">IF(B25&gt;0,TEXT(B25,"(aaa)"),"")</f>
        <v>(木)</v>
      </c>
      <c r="D25" s="215"/>
      <c r="E25" s="216"/>
      <c r="F25" s="214" t="str">
        <f aca="false">IF(E25&gt;0,TEXT(E25,"(aaa)"),"")</f>
        <v/>
      </c>
      <c r="G25" s="215"/>
      <c r="H25" s="216"/>
      <c r="I25" s="214" t="str">
        <f aca="false">IF(H25&gt;0,TEXT(H25,"(aaa)"),"")</f>
        <v/>
      </c>
    </row>
    <row r="26" s="214" customFormat="true" ht="16.5" hidden="false" customHeight="false" outlineLevel="0" collapsed="false">
      <c r="A26" s="212" t="s">
        <v>370</v>
      </c>
      <c r="B26" s="213" t="n">
        <v>44106</v>
      </c>
      <c r="C26" s="214" t="str">
        <f aca="false">IF(B26&gt;0,TEXT(B26,"(aaa)"),"")</f>
        <v>(金)</v>
      </c>
      <c r="D26" s="215"/>
      <c r="E26" s="216"/>
      <c r="F26" s="214" t="str">
        <f aca="false">IF(E26&gt;0,TEXT(E26,"(aaa)"),"")</f>
        <v/>
      </c>
      <c r="G26" s="215"/>
      <c r="H26" s="216"/>
      <c r="I26" s="214" t="str">
        <f aca="false">IF(H26&gt;0,TEXT(H26,"(aaa)"),"")</f>
        <v/>
      </c>
    </row>
    <row r="27" s="214" customFormat="true" ht="16.5" hidden="false" customHeight="false" outlineLevel="0" collapsed="false">
      <c r="A27" s="212" t="s">
        <v>372</v>
      </c>
      <c r="B27" s="213" t="n">
        <v>44113</v>
      </c>
      <c r="C27" s="214" t="str">
        <f aca="false">IF(B27&gt;0,TEXT(B27,"(aaa)"),"")</f>
        <v>(金)</v>
      </c>
      <c r="D27" s="215"/>
      <c r="E27" s="216"/>
      <c r="F27" s="214" t="str">
        <f aca="false">IF(E27&gt;0,TEXT(E27,"(aaa)"),"")</f>
        <v/>
      </c>
      <c r="G27" s="215"/>
      <c r="H27" s="216"/>
      <c r="I27" s="214" t="str">
        <f aca="false">IF(H27&gt;0,TEXT(H27,"(aaa)"),"")</f>
        <v/>
      </c>
    </row>
    <row r="28" s="214" customFormat="true" ht="16.5" hidden="false" customHeight="false" outlineLevel="0" collapsed="false">
      <c r="A28" s="212" t="s">
        <v>373</v>
      </c>
      <c r="B28" s="213" t="n">
        <v>44190</v>
      </c>
      <c r="C28" s="214" t="str">
        <f aca="false">IF(B28&gt;0,TEXT(B28,"(aaa)"),"")</f>
        <v>(金)</v>
      </c>
      <c r="D28" s="215"/>
      <c r="E28" s="216"/>
      <c r="F28" s="214" t="str">
        <f aca="false">IF(E28&gt;0,TEXT(E28,"(aaa)"),"")</f>
        <v/>
      </c>
      <c r="G28" s="215"/>
      <c r="H28" s="216"/>
      <c r="I28" s="214" t="str">
        <f aca="false">IF(H28&gt;0,TEXT(H28,"(aaa)"),"")</f>
        <v/>
      </c>
    </row>
    <row r="29" s="214" customFormat="true" ht="16.5" hidden="false" customHeight="false" outlineLevel="0" collapsed="false">
      <c r="A29" s="212"/>
      <c r="B29" s="213"/>
      <c r="C29" s="214" t="str">
        <f aca="false">IF(B29&gt;0,TEXT(B29,"(aaa)"),"")</f>
        <v/>
      </c>
      <c r="D29" s="215"/>
      <c r="E29" s="216"/>
      <c r="F29" s="214" t="str">
        <f aca="false">IF(E29&gt;0,TEXT(E29,"(aaa)"),"")</f>
        <v/>
      </c>
      <c r="G29" s="215"/>
      <c r="H29" s="216"/>
      <c r="I29" s="214" t="str">
        <f aca="false">IF(H29&gt;0,TEXT(H29,"(aaa)"),"")</f>
        <v/>
      </c>
    </row>
    <row r="30" s="214" customFormat="true" ht="16.5" hidden="false" customHeight="false" outlineLevel="0" collapsed="false">
      <c r="A30" s="212"/>
      <c r="B30" s="213"/>
      <c r="C30" s="214" t="str">
        <f aca="false">IF(B30&gt;0,TEXT(B30,"(aaa)"),"")</f>
        <v/>
      </c>
      <c r="D30" s="215"/>
      <c r="E30" s="216"/>
      <c r="F30" s="214" t="str">
        <f aca="false">IF(E30&gt;0,TEXT(E30,"(aaa)"),"")</f>
        <v/>
      </c>
      <c r="G30" s="215"/>
      <c r="H30" s="216"/>
      <c r="I30" s="214" t="str">
        <f aca="false">IF(H30&gt;0,TEXT(H30,"(aaa)"),"")</f>
        <v/>
      </c>
    </row>
    <row r="31" s="214" customFormat="true" ht="16.5" hidden="false" customHeight="false" outlineLevel="0" collapsed="false">
      <c r="A31" s="212"/>
      <c r="B31" s="213"/>
      <c r="C31" s="214" t="str">
        <f aca="false">IF(B31&gt;0,TEXT(B31,"(aaa)"),"")</f>
        <v/>
      </c>
      <c r="D31" s="215"/>
      <c r="E31" s="216"/>
      <c r="F31" s="214" t="str">
        <f aca="false">IF(E31&gt;0,TEXT(E31,"(aaa)"),"")</f>
        <v/>
      </c>
      <c r="G31" s="215"/>
      <c r="H31" s="216"/>
      <c r="I31" s="214" t="str">
        <f aca="false">IF(H31&gt;0,TEXT(H31,"(aaa)"),"")</f>
        <v/>
      </c>
    </row>
    <row r="32" s="214" customFormat="true" ht="16.5" hidden="false" customHeight="false" outlineLevel="0" collapsed="false">
      <c r="A32" s="212"/>
      <c r="B32" s="213"/>
      <c r="C32" s="214" t="str">
        <f aca="false">IF(B32&gt;0,TEXT(B32,"(aaa)"),"")</f>
        <v/>
      </c>
      <c r="D32" s="215"/>
      <c r="E32" s="216"/>
      <c r="F32" s="214" t="str">
        <f aca="false">IF(E32&gt;0,TEXT(E32,"(aaa)"),"")</f>
        <v/>
      </c>
      <c r="G32" s="215"/>
      <c r="H32" s="216"/>
      <c r="I32" s="214" t="str">
        <f aca="false">IF(H32&gt;0,TEXT(H32,"(aaa)"),"")</f>
        <v/>
      </c>
    </row>
    <row r="33" s="214" customFormat="true" ht="16.5" hidden="false" customHeight="false" outlineLevel="0" collapsed="false">
      <c r="A33" s="212"/>
      <c r="B33" s="213"/>
      <c r="C33" s="214" t="str">
        <f aca="false">IF(B33&gt;0,TEXT(B33,"(aaa)"),"")</f>
        <v/>
      </c>
      <c r="D33" s="215"/>
      <c r="E33" s="216"/>
      <c r="F33" s="214" t="str">
        <f aca="false">IF(E33&gt;0,TEXT(E33,"(aaa)"),"")</f>
        <v/>
      </c>
      <c r="G33" s="215"/>
      <c r="H33" s="216"/>
      <c r="I33" s="214" t="str">
        <f aca="false">IF(H33&gt;0,TEXT(H33,"(aaa)"),"")</f>
        <v/>
      </c>
    </row>
    <row r="34" s="214" customFormat="true" ht="16.5" hidden="false" customHeight="false" outlineLevel="0" collapsed="false">
      <c r="A34" s="212"/>
      <c r="B34" s="213"/>
      <c r="C34" s="214" t="str">
        <f aca="false">IF(B34&gt;0,TEXT(B34,"(aaa)"),"")</f>
        <v/>
      </c>
      <c r="D34" s="215"/>
      <c r="E34" s="216"/>
      <c r="F34" s="214" t="str">
        <f aca="false">IF(E34&gt;0,TEXT(E34,"(aaa)"),"")</f>
        <v/>
      </c>
      <c r="G34" s="215"/>
      <c r="H34" s="216"/>
      <c r="I34" s="214" t="str">
        <f aca="false">IF(H34&gt;0,TEXT(H34,"(aaa)"),"")</f>
        <v/>
      </c>
    </row>
    <row r="35" s="214" customFormat="true" ht="16.5" hidden="false" customHeight="false" outlineLevel="0" collapsed="false">
      <c r="A35" s="212"/>
      <c r="B35" s="213"/>
      <c r="C35" s="214" t="str">
        <f aca="false">IF(B35&gt;0,TEXT(B35,"(aaa)"),"")</f>
        <v/>
      </c>
      <c r="D35" s="215"/>
      <c r="E35" s="216"/>
      <c r="F35" s="214" t="str">
        <f aca="false">IF(E35&gt;0,TEXT(E35,"(aaa)"),"")</f>
        <v/>
      </c>
      <c r="G35" s="215"/>
      <c r="H35" s="216"/>
      <c r="I35" s="214" t="str">
        <f aca="false">IF(H35&gt;0,TEXT(H35,"(aaa)"),"")</f>
        <v/>
      </c>
    </row>
    <row r="36" s="214" customFormat="true" ht="16.5" hidden="false" customHeight="false" outlineLevel="0" collapsed="false">
      <c r="A36" s="212"/>
      <c r="B36" s="213"/>
      <c r="C36" s="214" t="str">
        <f aca="false">IF(B36&gt;0,TEXT(B36,"(aaa)"),"")</f>
        <v/>
      </c>
      <c r="D36" s="215"/>
      <c r="E36" s="216"/>
      <c r="F36" s="214" t="str">
        <f aca="false">IF(E36&gt;0,TEXT(E36,"(aaa)"),"")</f>
        <v/>
      </c>
      <c r="G36" s="215"/>
      <c r="H36" s="216"/>
      <c r="I36" s="214" t="str">
        <f aca="false">IF(H36&gt;0,TEXT(H36,"(aaa)"),"")</f>
        <v/>
      </c>
    </row>
    <row r="37" s="214" customFormat="true" ht="16.5" hidden="false" customHeight="false" outlineLevel="0" collapsed="false">
      <c r="A37" s="212"/>
      <c r="B37" s="213"/>
      <c r="C37" s="214" t="str">
        <f aca="false">IF(B37&gt;0,TEXT(B37,"(aaa)"),"")</f>
        <v/>
      </c>
      <c r="D37" s="215"/>
      <c r="E37" s="216"/>
      <c r="F37" s="214" t="str">
        <f aca="false">IF(E37&gt;0,TEXT(E37,"(aaa)"),"")</f>
        <v/>
      </c>
      <c r="G37" s="215"/>
      <c r="H37" s="216"/>
      <c r="I37" s="214" t="str">
        <f aca="false">IF(H37&gt;0,TEXT(H37,"(aaa)"),"")</f>
        <v/>
      </c>
    </row>
    <row r="38" s="214" customFormat="true" ht="16.5" hidden="false" customHeight="false" outlineLevel="0" collapsed="false">
      <c r="A38" s="212"/>
      <c r="B38" s="213"/>
      <c r="C38" s="214" t="str">
        <f aca="false">IF(B38&gt;0,TEXT(B38,"(aaa)"),"")</f>
        <v/>
      </c>
      <c r="D38" s="215"/>
      <c r="E38" s="216"/>
      <c r="F38" s="214" t="str">
        <f aca="false">IF(E38&gt;0,TEXT(E38,"(aaa)"),"")</f>
        <v/>
      </c>
      <c r="G38" s="215"/>
      <c r="H38" s="216"/>
      <c r="I38" s="214" t="str">
        <f aca="false">IF(H38&gt;0,TEXT(H38,"(aaa)"),"")</f>
        <v/>
      </c>
    </row>
    <row r="39" s="214" customFormat="true" ht="16.5" hidden="false" customHeight="false" outlineLevel="0" collapsed="false">
      <c r="A39" s="212"/>
      <c r="B39" s="213"/>
      <c r="C39" s="214" t="str">
        <f aca="false">IF(B39&gt;0,TEXT(B39,"(aaa)"),"")</f>
        <v/>
      </c>
      <c r="D39" s="215"/>
      <c r="E39" s="216"/>
      <c r="F39" s="214" t="str">
        <f aca="false">IF(E39&gt;0,TEXT(E39,"(aaa)"),"")</f>
        <v/>
      </c>
      <c r="G39" s="215"/>
      <c r="H39" s="216"/>
      <c r="I39" s="214" t="str">
        <f aca="false">IF(H39&gt;0,TEXT(H39,"(aaa)"),"")</f>
        <v/>
      </c>
    </row>
    <row r="40" s="214" customFormat="true" ht="16.5" hidden="false" customHeight="false" outlineLevel="0" collapsed="false">
      <c r="A40" s="212"/>
      <c r="B40" s="213"/>
      <c r="C40" s="214" t="str">
        <f aca="false">IF(B40&gt;0,TEXT(B40,"(aaa)"),"")</f>
        <v/>
      </c>
      <c r="D40" s="215"/>
      <c r="E40" s="216"/>
      <c r="F40" s="214" t="str">
        <f aca="false">IF(E40&gt;0,TEXT(E40,"(aaa)"),"")</f>
        <v/>
      </c>
      <c r="G40" s="215"/>
      <c r="H40" s="216"/>
      <c r="I40" s="214" t="str">
        <f aca="false">IF(H40&gt;0,TEXT(H40,"(aaa)"),"")</f>
        <v/>
      </c>
    </row>
    <row r="41" s="214" customFormat="true" ht="16.5" hidden="false" customHeight="false" outlineLevel="0" collapsed="false">
      <c r="A41" s="212"/>
      <c r="B41" s="213"/>
      <c r="C41" s="214" t="str">
        <f aca="false">IF(B41&gt;0,TEXT(B41,"(aaa)"),"")</f>
        <v/>
      </c>
      <c r="D41" s="215"/>
      <c r="E41" s="216"/>
      <c r="F41" s="214" t="str">
        <f aca="false">IF(E41&gt;0,TEXT(E41,"(aaa)"),"")</f>
        <v/>
      </c>
      <c r="G41" s="215"/>
      <c r="H41" s="216"/>
      <c r="I41" s="214" t="str">
        <f aca="false">IF(H41&gt;0,TEXT(H41,"(aaa)"),"")</f>
        <v/>
      </c>
    </row>
    <row r="42" s="214" customFormat="true" ht="16.5" hidden="false" customHeight="false" outlineLevel="0" collapsed="false">
      <c r="A42" s="212"/>
      <c r="B42" s="213"/>
      <c r="C42" s="214" t="str">
        <f aca="false">IF(B42&gt;0,TEXT(B42,"(aaa)"),"")</f>
        <v/>
      </c>
      <c r="D42" s="215"/>
      <c r="E42" s="216"/>
      <c r="F42" s="214" t="str">
        <f aca="false">IF(E42&gt;0,TEXT(E42,"(aaa)"),"")</f>
        <v/>
      </c>
      <c r="G42" s="215"/>
      <c r="H42" s="216"/>
      <c r="I42" s="214" t="str">
        <f aca="false">IF(H42&gt;0,TEXT(H42,"(aaa)"),"")</f>
        <v/>
      </c>
    </row>
    <row r="43" s="214" customFormat="true" ht="16.5" hidden="false" customHeight="false" outlineLevel="0" collapsed="false">
      <c r="A43" s="212"/>
      <c r="B43" s="213"/>
      <c r="C43" s="214" t="str">
        <f aca="false">IF(B43&gt;0,TEXT(B43,"(aaa)"),"")</f>
        <v/>
      </c>
      <c r="D43" s="215"/>
      <c r="E43" s="216"/>
      <c r="F43" s="214" t="str">
        <f aca="false">IF(E43&gt;0,TEXT(E43,"(aaa)"),"")</f>
        <v/>
      </c>
      <c r="G43" s="215"/>
      <c r="H43" s="216"/>
      <c r="I43" s="214" t="str">
        <f aca="false">IF(H43&gt;0,TEXT(H43,"(aaa)"),"")</f>
        <v/>
      </c>
    </row>
    <row r="44" s="214" customFormat="true" ht="16.5" hidden="false" customHeight="false" outlineLevel="0" collapsed="false">
      <c r="A44" s="212"/>
      <c r="B44" s="213"/>
      <c r="C44" s="214" t="str">
        <f aca="false">IF(B44&gt;0,TEXT(B44,"(aaa)"),"")</f>
        <v/>
      </c>
      <c r="D44" s="215"/>
      <c r="E44" s="216"/>
      <c r="F44" s="214" t="str">
        <f aca="false">IF(E44&gt;0,TEXT(E44,"(aaa)"),"")</f>
        <v/>
      </c>
      <c r="G44" s="215"/>
      <c r="H44" s="216"/>
      <c r="I44" s="214" t="str">
        <f aca="false">IF(H44&gt;0,TEXT(H44,"(aaa)"),"")</f>
        <v/>
      </c>
    </row>
    <row r="45" s="214" customFormat="true" ht="16.5" hidden="false" customHeight="false" outlineLevel="0" collapsed="false">
      <c r="A45" s="212"/>
      <c r="B45" s="213"/>
      <c r="C45" s="214" t="str">
        <f aca="false">IF(B45&gt;0,TEXT(B45,"(aaa)"),"")</f>
        <v/>
      </c>
      <c r="D45" s="215"/>
      <c r="E45" s="216"/>
      <c r="F45" s="214" t="str">
        <f aca="false">IF(E45&gt;0,TEXT(E45,"(aaa)"),"")</f>
        <v/>
      </c>
      <c r="G45" s="215"/>
      <c r="H45" s="216"/>
      <c r="I45" s="214" t="str">
        <f aca="false">IF(H45&gt;0,TEXT(H45,"(aaa)"),"")</f>
        <v/>
      </c>
    </row>
    <row r="46" s="214" customFormat="true" ht="16.5" hidden="false" customHeight="false" outlineLevel="0" collapsed="false">
      <c r="A46" s="212"/>
      <c r="B46" s="213"/>
      <c r="C46" s="214" t="str">
        <f aca="false">IF(B46&gt;0,TEXT(B46,"(aaa)"),"")</f>
        <v/>
      </c>
      <c r="D46" s="215"/>
      <c r="E46" s="216"/>
      <c r="F46" s="214" t="str">
        <f aca="false">IF(E46&gt;0,TEXT(E46,"(aaa)"),"")</f>
        <v/>
      </c>
      <c r="G46" s="215"/>
      <c r="H46" s="216"/>
      <c r="I46" s="214" t="str">
        <f aca="false">IF(H46&gt;0,TEXT(H46,"(aaa)"),"")</f>
        <v/>
      </c>
    </row>
    <row r="47" s="214" customFormat="true" ht="16.5" hidden="false" customHeight="false" outlineLevel="0" collapsed="false">
      <c r="A47" s="212"/>
      <c r="B47" s="213"/>
      <c r="C47" s="214" t="str">
        <f aca="false">IF(B47&gt;0,TEXT(B47,"(aaa)"),"")</f>
        <v/>
      </c>
      <c r="D47" s="215"/>
      <c r="E47" s="216"/>
      <c r="F47" s="214" t="str">
        <f aca="false">IF(E47&gt;0,TEXT(E47,"(aaa)"),"")</f>
        <v/>
      </c>
      <c r="G47" s="215"/>
      <c r="H47" s="216"/>
      <c r="I47" s="214" t="str">
        <f aca="false">IF(H47&gt;0,TEXT(H47,"(aaa)"),"")</f>
        <v/>
      </c>
    </row>
    <row r="48" s="214" customFormat="true" ht="16.5" hidden="false" customHeight="false" outlineLevel="0" collapsed="false">
      <c r="A48" s="212"/>
      <c r="B48" s="213"/>
      <c r="C48" s="214" t="str">
        <f aca="false">IF(B48&gt;0,TEXT(B48,"(aaa)"),"")</f>
        <v/>
      </c>
      <c r="D48" s="215"/>
      <c r="E48" s="216"/>
      <c r="F48" s="214" t="str">
        <f aca="false">IF(E48&gt;0,TEXT(E48,"(aaa)"),"")</f>
        <v/>
      </c>
      <c r="G48" s="215"/>
      <c r="H48" s="216"/>
      <c r="I48" s="214" t="str">
        <f aca="false">IF(H48&gt;0,TEXT(H48,"(aaa)"),"")</f>
        <v/>
      </c>
    </row>
    <row r="49" s="214" customFormat="true" ht="16.5" hidden="false" customHeight="false" outlineLevel="0" collapsed="false">
      <c r="A49" s="212"/>
      <c r="B49" s="213"/>
      <c r="C49" s="214" t="str">
        <f aca="false">IF(B49&gt;0,TEXT(B49,"(aaa)"),"")</f>
        <v/>
      </c>
      <c r="D49" s="215"/>
      <c r="E49" s="216"/>
      <c r="F49" s="214" t="str">
        <f aca="false">IF(E49&gt;0,TEXT(E49,"(aaa)"),"")</f>
        <v/>
      </c>
      <c r="G49" s="215"/>
      <c r="H49" s="216"/>
      <c r="I49" s="214" t="str">
        <f aca="false">IF(H49&gt;0,TEXT(H49,"(aaa)"),"")</f>
        <v/>
      </c>
    </row>
    <row r="50" s="214" customFormat="true" ht="16.5" hidden="false" customHeight="false" outlineLevel="0" collapsed="false">
      <c r="A50" s="212"/>
      <c r="B50" s="213"/>
      <c r="C50" s="214" t="str">
        <f aca="false">IF(B50&gt;0,TEXT(B50,"(aaa)"),"")</f>
        <v/>
      </c>
      <c r="D50" s="215"/>
      <c r="E50" s="216"/>
      <c r="F50" s="214" t="str">
        <f aca="false">IF(E50&gt;0,TEXT(E50,"(aaa)"),"")</f>
        <v/>
      </c>
      <c r="G50" s="215"/>
      <c r="H50" s="216"/>
      <c r="I50" s="214" t="str">
        <f aca="false">IF(H50&gt;0,TEXT(H50,"(aaa)"),"")</f>
        <v/>
      </c>
    </row>
    <row r="51" s="214" customFormat="true" ht="16.5" hidden="false" customHeight="false" outlineLevel="0" collapsed="false">
      <c r="A51" s="212"/>
      <c r="B51" s="213"/>
      <c r="C51" s="214" t="str">
        <f aca="false">IF(B51&gt;0,TEXT(B51,"(aaa)"),"")</f>
        <v/>
      </c>
      <c r="D51" s="215"/>
      <c r="E51" s="216"/>
      <c r="F51" s="214" t="str">
        <f aca="false">IF(E51&gt;0,TEXT(E51,"(aaa)"),"")</f>
        <v/>
      </c>
      <c r="G51" s="215"/>
      <c r="H51" s="216"/>
      <c r="I51" s="214" t="str">
        <f aca="false">IF(H51&gt;0,TEXT(H51,"(aaa)"),"")</f>
        <v/>
      </c>
    </row>
    <row r="52" s="214" customFormat="true" ht="16.5" hidden="false" customHeight="false" outlineLevel="0" collapsed="false">
      <c r="A52" s="212"/>
      <c r="B52" s="213"/>
      <c r="C52" s="214" t="str">
        <f aca="false">IF(B52&gt;0,TEXT(B52,"(aaa)"),"")</f>
        <v/>
      </c>
      <c r="D52" s="215"/>
      <c r="E52" s="216"/>
      <c r="F52" s="214" t="str">
        <f aca="false">IF(E52&gt;0,TEXT(E52,"(aaa)"),"")</f>
        <v/>
      </c>
      <c r="G52" s="215"/>
      <c r="H52" s="216"/>
      <c r="I52" s="214" t="str">
        <f aca="false">IF(H52&gt;0,TEXT(H52,"(aaa)"),"")</f>
        <v/>
      </c>
    </row>
    <row r="53" s="214" customFormat="true" ht="16.5" hidden="false" customHeight="false" outlineLevel="0" collapsed="false">
      <c r="A53" s="212"/>
      <c r="B53" s="213"/>
      <c r="C53" s="214" t="str">
        <f aca="false">IF(B53&gt;0,TEXT(B53,"(aaa)"),"")</f>
        <v/>
      </c>
      <c r="D53" s="215"/>
      <c r="E53" s="216"/>
      <c r="F53" s="214" t="str">
        <f aca="false">IF(E53&gt;0,TEXT(E53,"(aaa)"),"")</f>
        <v/>
      </c>
      <c r="G53" s="215"/>
      <c r="H53" s="216"/>
      <c r="I53" s="214" t="str">
        <f aca="false">IF(H53&gt;0,TEXT(H53,"(aaa)"),"")</f>
        <v/>
      </c>
    </row>
    <row r="54" s="214" customFormat="true" ht="16.5" hidden="false" customHeight="false" outlineLevel="0" collapsed="false">
      <c r="A54" s="212"/>
      <c r="B54" s="213"/>
      <c r="C54" s="214" t="str">
        <f aca="false">IF(B54&gt;0,TEXT(B54,"(aaa)"),"")</f>
        <v/>
      </c>
      <c r="D54" s="215"/>
      <c r="E54" s="216"/>
      <c r="F54" s="214" t="str">
        <f aca="false">IF(E54&gt;0,TEXT(E54,"(aaa)"),"")</f>
        <v/>
      </c>
      <c r="G54" s="215"/>
      <c r="H54" s="216"/>
      <c r="I54" s="214" t="str">
        <f aca="false">IF(H54&gt;0,TEXT(H54,"(aaa)"),"")</f>
        <v/>
      </c>
    </row>
    <row r="55" s="214" customFormat="true" ht="16.5" hidden="false" customHeight="false" outlineLevel="0" collapsed="false">
      <c r="A55" s="212"/>
      <c r="B55" s="213"/>
      <c r="C55" s="214" t="str">
        <f aca="false">IF(B55&gt;0,TEXT(B55,"(aaa)"),"")</f>
        <v/>
      </c>
      <c r="D55" s="215"/>
      <c r="E55" s="216"/>
      <c r="F55" s="214" t="str">
        <f aca="false">IF(E55&gt;0,TEXT(E55,"(aaa)"),"")</f>
        <v/>
      </c>
      <c r="G55" s="215"/>
      <c r="H55" s="216"/>
      <c r="I55" s="214" t="str">
        <f aca="false">IF(H55&gt;0,TEXT(H55,"(aaa)"),"")</f>
        <v/>
      </c>
    </row>
    <row r="56" s="214" customFormat="true" ht="16.5" hidden="false" customHeight="false" outlineLevel="0" collapsed="false">
      <c r="A56" s="212"/>
      <c r="B56" s="213"/>
      <c r="C56" s="214" t="str">
        <f aca="false">IF(B56&gt;0,TEXT(B56,"(aaa)"),"")</f>
        <v/>
      </c>
      <c r="D56" s="215"/>
      <c r="E56" s="216"/>
      <c r="F56" s="214" t="str">
        <f aca="false">IF(E56&gt;0,TEXT(E56,"(aaa)"),"")</f>
        <v/>
      </c>
      <c r="G56" s="215"/>
      <c r="H56" s="216"/>
      <c r="I56" s="214" t="str">
        <f aca="false">IF(H56&gt;0,TEXT(H56,"(aaa)"),"")</f>
        <v/>
      </c>
    </row>
    <row r="57" s="214" customFormat="true" ht="16.5" hidden="false" customHeight="false" outlineLevel="0" collapsed="false">
      <c r="A57" s="212"/>
      <c r="B57" s="213"/>
      <c r="C57" s="214" t="str">
        <f aca="false">IF(B57&gt;0,TEXT(B57,"(aaa)"),"")</f>
        <v/>
      </c>
      <c r="D57" s="215"/>
      <c r="E57" s="216"/>
      <c r="F57" s="214" t="str">
        <f aca="false">IF(E57&gt;0,TEXT(E57,"(aaa)"),"")</f>
        <v/>
      </c>
      <c r="G57" s="215"/>
      <c r="H57" s="216"/>
      <c r="I57" s="214" t="str">
        <f aca="false">IF(H57&gt;0,TEXT(H57,"(aaa)"),"")</f>
        <v/>
      </c>
    </row>
    <row r="58" s="214" customFormat="true" ht="16.5" hidden="false" customHeight="false" outlineLevel="0" collapsed="false">
      <c r="A58" s="212"/>
      <c r="B58" s="213"/>
      <c r="C58" s="214" t="str">
        <f aca="false">IF(B58&gt;0,TEXT(B58,"(aaa)"),"")</f>
        <v/>
      </c>
      <c r="D58" s="215"/>
      <c r="E58" s="216"/>
      <c r="F58" s="214" t="str">
        <f aca="false">IF(E58&gt;0,TEXT(E58,"(aaa)"),"")</f>
        <v/>
      </c>
      <c r="G58" s="215"/>
      <c r="H58" s="216"/>
      <c r="I58" s="214" t="str">
        <f aca="false">IF(H58&gt;0,TEXT(H58,"(aaa)"),"")</f>
        <v/>
      </c>
    </row>
    <row r="59" s="214" customFormat="true" ht="16.5" hidden="false" customHeight="false" outlineLevel="0" collapsed="false">
      <c r="A59" s="212"/>
      <c r="B59" s="213"/>
      <c r="C59" s="214" t="str">
        <f aca="false">IF(B59&gt;0,TEXT(B59,"(aaa)"),"")</f>
        <v/>
      </c>
      <c r="D59" s="215"/>
      <c r="E59" s="216"/>
      <c r="F59" s="214" t="str">
        <f aca="false">IF(E59&gt;0,TEXT(E59,"(aaa)"),"")</f>
        <v/>
      </c>
      <c r="G59" s="215"/>
      <c r="H59" s="216"/>
      <c r="I59" s="214" t="str">
        <f aca="false">IF(H59&gt;0,TEXT(H59,"(aaa)"),"")</f>
        <v/>
      </c>
    </row>
    <row r="60" s="214" customFormat="true" ht="16.5" hidden="false" customHeight="false" outlineLevel="0" collapsed="false">
      <c r="A60" s="212"/>
      <c r="B60" s="213"/>
      <c r="C60" s="214" t="str">
        <f aca="false">IF(B60&gt;0,TEXT(B60,"(aaa)"),"")</f>
        <v/>
      </c>
      <c r="D60" s="215"/>
      <c r="E60" s="216"/>
      <c r="F60" s="214" t="str">
        <f aca="false">IF(E60&gt;0,TEXT(E60,"(aaa)"),"")</f>
        <v/>
      </c>
      <c r="G60" s="215"/>
      <c r="H60" s="216"/>
      <c r="I60" s="214" t="str">
        <f aca="false">IF(H60&gt;0,TEXT(H60,"(aaa)"),"")</f>
        <v/>
      </c>
    </row>
    <row r="61" s="214" customFormat="true" ht="16.5" hidden="false" customHeight="false" outlineLevel="0" collapsed="false">
      <c r="A61" s="212"/>
      <c r="B61" s="213"/>
      <c r="C61" s="214" t="str">
        <f aca="false">IF(B61&gt;0,TEXT(B61,"(aaa)"),"")</f>
        <v/>
      </c>
      <c r="D61" s="215"/>
      <c r="E61" s="216"/>
      <c r="F61" s="214" t="str">
        <f aca="false">IF(E61&gt;0,TEXT(E61,"(aaa)"),"")</f>
        <v/>
      </c>
      <c r="G61" s="215"/>
      <c r="H61" s="216"/>
      <c r="I61" s="214" t="str">
        <f aca="false">IF(H61&gt;0,TEXT(H61,"(aaa)"),"")</f>
        <v/>
      </c>
    </row>
    <row r="62" s="214" customFormat="true" ht="16.5" hidden="false" customHeight="false" outlineLevel="0" collapsed="false">
      <c r="A62" s="212"/>
      <c r="B62" s="213"/>
      <c r="C62" s="214" t="str">
        <f aca="false">IF(B62&gt;0,TEXT(B62,"(aaa)"),"")</f>
        <v/>
      </c>
      <c r="D62" s="215"/>
      <c r="E62" s="216"/>
      <c r="F62" s="214" t="str">
        <f aca="false">IF(E62&gt;0,TEXT(E62,"(aaa)"),"")</f>
        <v/>
      </c>
      <c r="G62" s="215"/>
      <c r="H62" s="216"/>
      <c r="I62" s="214" t="str">
        <f aca="false">IF(H62&gt;0,TEXT(H62,"(aaa)"),"")</f>
        <v/>
      </c>
    </row>
    <row r="63" s="214" customFormat="true" ht="16.5" hidden="false" customHeight="false" outlineLevel="0" collapsed="false">
      <c r="A63" s="212"/>
      <c r="B63" s="213"/>
      <c r="C63" s="214" t="str">
        <f aca="false">IF(B63&gt;0,TEXT(B63,"(aaa)"),"")</f>
        <v/>
      </c>
      <c r="D63" s="215"/>
      <c r="E63" s="216"/>
      <c r="F63" s="214" t="str">
        <f aca="false">IF(E63&gt;0,TEXT(E63,"(aaa)"),"")</f>
        <v/>
      </c>
      <c r="G63" s="215"/>
      <c r="H63" s="216"/>
      <c r="I63" s="214" t="str">
        <f aca="false">IF(H63&gt;0,TEXT(H63,"(aaa)"),"")</f>
        <v/>
      </c>
    </row>
    <row r="64" s="214" customFormat="true" ht="16.5" hidden="false" customHeight="false" outlineLevel="0" collapsed="false">
      <c r="A64" s="212"/>
      <c r="B64" s="213"/>
      <c r="C64" s="214" t="str">
        <f aca="false">IF(B64&gt;0,TEXT(B64,"(aaa)"),"")</f>
        <v/>
      </c>
      <c r="D64" s="215"/>
      <c r="E64" s="216"/>
      <c r="F64" s="214" t="str">
        <f aca="false">IF(E64&gt;0,TEXT(E64,"(aaa)"),"")</f>
        <v/>
      </c>
      <c r="G64" s="215"/>
      <c r="H64" s="216"/>
      <c r="I64" s="214" t="str">
        <f aca="false">IF(H64&gt;0,TEXT(H64,"(aaa)"),"")</f>
        <v/>
      </c>
    </row>
    <row r="65" s="214" customFormat="true" ht="16.5" hidden="false" customHeight="false" outlineLevel="0" collapsed="false">
      <c r="A65" s="212"/>
      <c r="B65" s="213"/>
      <c r="C65" s="214" t="str">
        <f aca="false">IF(B65&gt;0,TEXT(B65,"(aaa)"),"")</f>
        <v/>
      </c>
      <c r="D65" s="215"/>
      <c r="E65" s="216"/>
      <c r="F65" s="214" t="str">
        <f aca="false">IF(E65&gt;0,TEXT(E65,"(aaa)"),"")</f>
        <v/>
      </c>
      <c r="G65" s="215"/>
      <c r="H65" s="216"/>
      <c r="I65" s="214" t="str">
        <f aca="false">IF(H65&gt;0,TEXT(H65,"(aaa)"),"")</f>
        <v/>
      </c>
    </row>
    <row r="66" s="214" customFormat="true" ht="16.5" hidden="false" customHeight="false" outlineLevel="0" collapsed="false">
      <c r="A66" s="212"/>
      <c r="B66" s="213"/>
      <c r="C66" s="214" t="str">
        <f aca="false">IF(B66&gt;0,TEXT(B66,"(aaa)"),"")</f>
        <v/>
      </c>
      <c r="D66" s="215"/>
      <c r="E66" s="216"/>
      <c r="F66" s="214" t="str">
        <f aca="false">IF(E66&gt;0,TEXT(E66,"(aaa)"),"")</f>
        <v/>
      </c>
      <c r="G66" s="215"/>
      <c r="H66" s="216"/>
      <c r="I66" s="214" t="str">
        <f aca="false">IF(H66&gt;0,TEXT(H66,"(aaa)"),"")</f>
        <v/>
      </c>
    </row>
    <row r="67" s="214" customFormat="true" ht="16.5" hidden="false" customHeight="false" outlineLevel="0" collapsed="false">
      <c r="A67" s="212"/>
      <c r="B67" s="213"/>
      <c r="C67" s="214" t="str">
        <f aca="false">IF(B67&gt;0,TEXT(B67,"(aaa)"),"")</f>
        <v/>
      </c>
      <c r="D67" s="215"/>
      <c r="E67" s="216"/>
      <c r="F67" s="214" t="str">
        <f aca="false">IF(E67&gt;0,TEXT(E67,"(aaa)"),"")</f>
        <v/>
      </c>
      <c r="G67" s="215"/>
      <c r="H67" s="216"/>
      <c r="I67" s="214" t="str">
        <f aca="false">IF(H67&gt;0,TEXT(H67,"(aaa)"),"")</f>
        <v/>
      </c>
    </row>
    <row r="68" s="214" customFormat="true" ht="16.5" hidden="false" customHeight="false" outlineLevel="0" collapsed="false">
      <c r="A68" s="212"/>
      <c r="B68" s="213"/>
      <c r="C68" s="214" t="str">
        <f aca="false">IF(B68&gt;0,TEXT(B68,"(aaa)"),"")</f>
        <v/>
      </c>
      <c r="D68" s="215"/>
      <c r="E68" s="216"/>
      <c r="F68" s="214" t="str">
        <f aca="false">IF(E68&gt;0,TEXT(E68,"(aaa)"),"")</f>
        <v/>
      </c>
      <c r="G68" s="215"/>
      <c r="H68" s="216"/>
      <c r="I68" s="214" t="str">
        <f aca="false">IF(H68&gt;0,TEXT(H68,"(aaa)"),"")</f>
        <v/>
      </c>
    </row>
    <row r="69" s="214" customFormat="true" ht="16.5" hidden="false" customHeight="false" outlineLevel="0" collapsed="false">
      <c r="A69" s="212"/>
      <c r="B69" s="213"/>
      <c r="C69" s="214" t="str">
        <f aca="false">IF(B69&gt;0,TEXT(B69,"(aaa)"),"")</f>
        <v/>
      </c>
      <c r="D69" s="215"/>
      <c r="E69" s="216"/>
      <c r="F69" s="214" t="str">
        <f aca="false">IF(E69&gt;0,TEXT(E69,"(aaa)"),"")</f>
        <v/>
      </c>
      <c r="G69" s="215"/>
      <c r="H69" s="216"/>
      <c r="I69" s="214" t="str">
        <f aca="false">IF(H69&gt;0,TEXT(H69,"(aaa)"),"")</f>
        <v/>
      </c>
    </row>
    <row r="70" s="214" customFormat="true" ht="16.5" hidden="false" customHeight="false" outlineLevel="0" collapsed="false">
      <c r="A70" s="212"/>
      <c r="B70" s="213"/>
      <c r="C70" s="214" t="str">
        <f aca="false">IF(B70&gt;0,TEXT(B70,"(aaa)"),"")</f>
        <v/>
      </c>
      <c r="D70" s="215"/>
      <c r="E70" s="216"/>
      <c r="F70" s="214" t="str">
        <f aca="false">IF(E70&gt;0,TEXT(E70,"(aaa)"),"")</f>
        <v/>
      </c>
      <c r="G70" s="215"/>
      <c r="H70" s="216"/>
      <c r="I70" s="214" t="str">
        <f aca="false">IF(H70&gt;0,TEXT(H70,"(aaa)"),"")</f>
        <v/>
      </c>
    </row>
    <row r="71" s="214" customFormat="true" ht="16.5" hidden="false" customHeight="false" outlineLevel="0" collapsed="false">
      <c r="A71" s="212"/>
      <c r="B71" s="213"/>
      <c r="C71" s="214" t="str">
        <f aca="false">IF(B71&gt;0,TEXT(B71,"(aaa)"),"")</f>
        <v/>
      </c>
      <c r="D71" s="215"/>
      <c r="E71" s="216"/>
      <c r="F71" s="214" t="str">
        <f aca="false">IF(E71&gt;0,TEXT(E71,"(aaa)"),"")</f>
        <v/>
      </c>
      <c r="G71" s="215"/>
      <c r="H71" s="216"/>
      <c r="I71" s="214" t="str">
        <f aca="false">IF(H71&gt;0,TEXT(H71,"(aaa)"),"")</f>
        <v/>
      </c>
    </row>
    <row r="72" s="214" customFormat="true" ht="16.5" hidden="false" customHeight="false" outlineLevel="0" collapsed="false">
      <c r="A72" s="212"/>
      <c r="B72" s="213"/>
      <c r="C72" s="214" t="str">
        <f aca="false">IF(B72&gt;0,TEXT(B72,"(aaa)"),"")</f>
        <v/>
      </c>
      <c r="D72" s="215"/>
      <c r="E72" s="216"/>
      <c r="F72" s="214" t="str">
        <f aca="false">IF(E72&gt;0,TEXT(E72,"(aaa)"),"")</f>
        <v/>
      </c>
      <c r="G72" s="215"/>
      <c r="H72" s="216"/>
      <c r="I72" s="214" t="str">
        <f aca="false">IF(H72&gt;0,TEXT(H72,"(aaa)"),"")</f>
        <v/>
      </c>
    </row>
    <row r="73" s="214" customFormat="true" ht="16.5" hidden="false" customHeight="false" outlineLevel="0" collapsed="false">
      <c r="A73" s="212"/>
      <c r="B73" s="213"/>
      <c r="C73" s="214" t="str">
        <f aca="false">IF(B73&gt;0,TEXT(B73,"(aaa)"),"")</f>
        <v/>
      </c>
      <c r="D73" s="215"/>
      <c r="E73" s="216"/>
      <c r="F73" s="214" t="str">
        <f aca="false">IF(E73&gt;0,TEXT(E73,"(aaa)"),"")</f>
        <v/>
      </c>
      <c r="G73" s="215"/>
      <c r="H73" s="216"/>
      <c r="I73" s="214" t="str">
        <f aca="false">IF(H73&gt;0,TEXT(H73,"(aaa)"),"")</f>
        <v/>
      </c>
    </row>
    <row r="74" s="214" customFormat="true" ht="16.5" hidden="false" customHeight="false" outlineLevel="0" collapsed="false">
      <c r="A74" s="212"/>
      <c r="B74" s="213"/>
      <c r="C74" s="214" t="str">
        <f aca="false">IF(B74&gt;0,TEXT(B74,"(aaa)"),"")</f>
        <v/>
      </c>
      <c r="D74" s="215"/>
      <c r="E74" s="216"/>
      <c r="F74" s="214" t="str">
        <f aca="false">IF(E74&gt;0,TEXT(E74,"(aaa)"),"")</f>
        <v/>
      </c>
      <c r="G74" s="215"/>
      <c r="H74" s="216"/>
      <c r="I74" s="214" t="str">
        <f aca="false">IF(H74&gt;0,TEXT(H74,"(aaa)"),"")</f>
        <v/>
      </c>
    </row>
    <row r="75" s="214" customFormat="true" ht="16.5" hidden="false" customHeight="false" outlineLevel="0" collapsed="false">
      <c r="A75" s="212"/>
      <c r="B75" s="213"/>
      <c r="C75" s="214" t="str">
        <f aca="false">IF(B75&gt;0,TEXT(B75,"(aaa)"),"")</f>
        <v/>
      </c>
      <c r="D75" s="215"/>
      <c r="E75" s="216"/>
      <c r="F75" s="214" t="str">
        <f aca="false">IF(E75&gt;0,TEXT(E75,"(aaa)"),"")</f>
        <v/>
      </c>
      <c r="G75" s="215"/>
      <c r="H75" s="216"/>
      <c r="I75" s="214" t="str">
        <f aca="false">IF(H75&gt;0,TEXT(H75,"(aaa)"),"")</f>
        <v/>
      </c>
    </row>
    <row r="76" s="214" customFormat="true" ht="16.5" hidden="false" customHeight="false" outlineLevel="0" collapsed="false">
      <c r="A76" s="212"/>
      <c r="B76" s="213"/>
      <c r="C76" s="214" t="str">
        <f aca="false">IF(B76&gt;0,TEXT(B76,"(aaa)"),"")</f>
        <v/>
      </c>
      <c r="D76" s="215"/>
      <c r="E76" s="216"/>
      <c r="F76" s="214" t="str">
        <f aca="false">IF(E76&gt;0,TEXT(E76,"(aaa)"),"")</f>
        <v/>
      </c>
      <c r="G76" s="215"/>
      <c r="H76" s="216"/>
      <c r="I76" s="214" t="str">
        <f aca="false">IF(H76&gt;0,TEXT(H76,"(aaa)"),"")</f>
        <v/>
      </c>
    </row>
    <row r="77" s="214" customFormat="true" ht="16.5" hidden="false" customHeight="false" outlineLevel="0" collapsed="false">
      <c r="A77" s="212"/>
      <c r="B77" s="213"/>
      <c r="C77" s="214" t="str">
        <f aca="false">IF(B77&gt;0,TEXT(B77,"(aaa)"),"")</f>
        <v/>
      </c>
      <c r="D77" s="215"/>
      <c r="E77" s="216"/>
      <c r="F77" s="214" t="str">
        <f aca="false">IF(E77&gt;0,TEXT(E77,"(aaa)"),"")</f>
        <v/>
      </c>
      <c r="G77" s="215"/>
      <c r="H77" s="216"/>
      <c r="I77" s="214" t="str">
        <f aca="false">IF(H77&gt;0,TEXT(H77,"(aaa)"),"")</f>
        <v/>
      </c>
    </row>
    <row r="78" s="214" customFormat="true" ht="16.5" hidden="false" customHeight="false" outlineLevel="0" collapsed="false">
      <c r="A78" s="212"/>
      <c r="B78" s="213"/>
      <c r="C78" s="214" t="str">
        <f aca="false">IF(B78&gt;0,TEXT(B78,"(aaa)"),"")</f>
        <v/>
      </c>
      <c r="D78" s="215"/>
      <c r="E78" s="216"/>
      <c r="F78" s="214" t="str">
        <f aca="false">IF(E78&gt;0,TEXT(E78,"(aaa)"),"")</f>
        <v/>
      </c>
      <c r="G78" s="215"/>
      <c r="H78" s="216"/>
      <c r="I78" s="214" t="str">
        <f aca="false">IF(H78&gt;0,TEXT(H78,"(aaa)"),"")</f>
        <v/>
      </c>
    </row>
    <row r="79" s="214" customFormat="true" ht="16.5" hidden="false" customHeight="false" outlineLevel="0" collapsed="false">
      <c r="A79" s="212"/>
      <c r="B79" s="213"/>
      <c r="C79" s="214" t="str">
        <f aca="false">IF(B79&gt;0,TEXT(B79,"(aaa)"),"")</f>
        <v/>
      </c>
      <c r="D79" s="215"/>
      <c r="E79" s="216"/>
      <c r="F79" s="214" t="str">
        <f aca="false">IF(E79&gt;0,TEXT(E79,"(aaa)"),"")</f>
        <v/>
      </c>
      <c r="G79" s="215"/>
      <c r="H79" s="216"/>
      <c r="I79" s="214" t="str">
        <f aca="false">IF(H79&gt;0,TEXT(H79,"(aaa)"),"")</f>
        <v/>
      </c>
    </row>
    <row r="80" s="214" customFormat="true" ht="16.5" hidden="false" customHeight="false" outlineLevel="0" collapsed="false">
      <c r="A80" s="212"/>
      <c r="B80" s="213"/>
      <c r="C80" s="214" t="str">
        <f aca="false">IF(B80&gt;0,TEXT(B80,"(aaa)"),"")</f>
        <v/>
      </c>
      <c r="D80" s="215"/>
      <c r="E80" s="216"/>
      <c r="F80" s="214" t="str">
        <f aca="false">IF(E80&gt;0,TEXT(E80,"(aaa)"),"")</f>
        <v/>
      </c>
      <c r="G80" s="215"/>
      <c r="H80" s="216"/>
      <c r="I80" s="214" t="str">
        <f aca="false">IF(H80&gt;0,TEXT(H80,"(aaa)"),"")</f>
        <v/>
      </c>
    </row>
    <row r="81" s="214" customFormat="true" ht="16.5" hidden="false" customHeight="false" outlineLevel="0" collapsed="false">
      <c r="A81" s="212"/>
      <c r="B81" s="213"/>
      <c r="C81" s="214" t="str">
        <f aca="false">IF(B81&gt;0,TEXT(B81,"(aaa)"),"")</f>
        <v/>
      </c>
      <c r="D81" s="215"/>
      <c r="E81" s="216"/>
      <c r="F81" s="214" t="str">
        <f aca="false">IF(E81&gt;0,TEXT(E81,"(aaa)"),"")</f>
        <v/>
      </c>
      <c r="G81" s="215"/>
      <c r="H81" s="216"/>
      <c r="I81" s="214" t="str">
        <f aca="false">IF(H81&gt;0,TEXT(H81,"(aaa)"),"")</f>
        <v/>
      </c>
    </row>
    <row r="82" s="214" customFormat="true" ht="16.5" hidden="false" customHeight="false" outlineLevel="0" collapsed="false">
      <c r="A82" s="212"/>
      <c r="B82" s="213"/>
      <c r="C82" s="214" t="str">
        <f aca="false">IF(B82&gt;0,TEXT(B82,"(aaa)"),"")</f>
        <v/>
      </c>
      <c r="D82" s="215"/>
      <c r="E82" s="216"/>
      <c r="F82" s="214" t="str">
        <f aca="false">IF(E82&gt;0,TEXT(E82,"(aaa)"),"")</f>
        <v/>
      </c>
      <c r="G82" s="215"/>
      <c r="H82" s="216"/>
      <c r="I82" s="214" t="str">
        <f aca="false">IF(H82&gt;0,TEXT(H82,"(aaa)"),"")</f>
        <v/>
      </c>
    </row>
    <row r="83" s="214" customFormat="true" ht="16.5" hidden="false" customHeight="false" outlineLevel="0" collapsed="false">
      <c r="A83" s="212"/>
      <c r="B83" s="213"/>
      <c r="C83" s="214" t="str">
        <f aca="false">IF(B83&gt;0,TEXT(B83,"(aaa)"),"")</f>
        <v/>
      </c>
      <c r="D83" s="215"/>
      <c r="E83" s="216"/>
      <c r="F83" s="214" t="str">
        <f aca="false">IF(E83&gt;0,TEXT(E83,"(aaa)"),"")</f>
        <v/>
      </c>
      <c r="G83" s="215"/>
      <c r="H83" s="216"/>
      <c r="I83" s="214" t="str">
        <f aca="false">IF(H83&gt;0,TEXT(H83,"(aaa)"),"")</f>
        <v/>
      </c>
    </row>
    <row r="84" s="214" customFormat="true" ht="16.5" hidden="false" customHeight="false" outlineLevel="0" collapsed="false">
      <c r="A84" s="212"/>
      <c r="B84" s="213"/>
      <c r="C84" s="214" t="str">
        <f aca="false">IF(B84&gt;0,TEXT(B84,"(aaa)"),"")</f>
        <v/>
      </c>
      <c r="D84" s="215"/>
      <c r="E84" s="216"/>
      <c r="F84" s="214" t="str">
        <f aca="false">IF(E84&gt;0,TEXT(E84,"(aaa)"),"")</f>
        <v/>
      </c>
      <c r="G84" s="215"/>
      <c r="H84" s="216"/>
      <c r="I84" s="214" t="str">
        <f aca="false">IF(H84&gt;0,TEXT(H84,"(aaa)"),"")</f>
        <v/>
      </c>
    </row>
    <row r="85" s="214" customFormat="true" ht="16.5" hidden="false" customHeight="false" outlineLevel="0" collapsed="false">
      <c r="A85" s="212"/>
      <c r="B85" s="213"/>
      <c r="C85" s="214" t="str">
        <f aca="false">IF(B85&gt;0,TEXT(B85,"(aaa)"),"")</f>
        <v/>
      </c>
      <c r="D85" s="215"/>
      <c r="E85" s="216"/>
      <c r="F85" s="214" t="str">
        <f aca="false">IF(E85&gt;0,TEXT(E85,"(aaa)"),"")</f>
        <v/>
      </c>
      <c r="G85" s="215"/>
      <c r="H85" s="216"/>
      <c r="I85" s="214" t="str">
        <f aca="false">IF(H85&gt;0,TEXT(H85,"(aaa)"),"")</f>
        <v/>
      </c>
    </row>
    <row r="86" s="214" customFormat="true" ht="16.5" hidden="false" customHeight="false" outlineLevel="0" collapsed="false">
      <c r="A86" s="212"/>
      <c r="B86" s="213"/>
      <c r="C86" s="214" t="str">
        <f aca="false">IF(B86&gt;0,TEXT(B86,"(aaa)"),"")</f>
        <v/>
      </c>
      <c r="D86" s="215"/>
      <c r="E86" s="216"/>
      <c r="F86" s="214" t="str">
        <f aca="false">IF(E86&gt;0,TEXT(E86,"(aaa)"),"")</f>
        <v/>
      </c>
      <c r="G86" s="215"/>
      <c r="H86" s="216"/>
      <c r="I86" s="214" t="str">
        <f aca="false">IF(H86&gt;0,TEXT(H86,"(aaa)"),"")</f>
        <v/>
      </c>
    </row>
    <row r="87" s="214" customFormat="true" ht="16.5" hidden="false" customHeight="false" outlineLevel="0" collapsed="false">
      <c r="A87" s="212"/>
      <c r="B87" s="213"/>
      <c r="C87" s="214" t="str">
        <f aca="false">IF(B87&gt;0,TEXT(B87,"(aaa)"),"")</f>
        <v/>
      </c>
      <c r="D87" s="215"/>
      <c r="E87" s="216"/>
      <c r="F87" s="214" t="str">
        <f aca="false">IF(E87&gt;0,TEXT(E87,"(aaa)"),"")</f>
        <v/>
      </c>
      <c r="G87" s="215"/>
      <c r="H87" s="216"/>
      <c r="I87" s="214" t="str">
        <f aca="false">IF(H87&gt;0,TEXT(H87,"(aaa)"),"")</f>
        <v/>
      </c>
    </row>
    <row r="88" s="214" customFormat="true" ht="16.5" hidden="false" customHeight="false" outlineLevel="0" collapsed="false">
      <c r="A88" s="212"/>
      <c r="B88" s="213"/>
      <c r="C88" s="214" t="str">
        <f aca="false">IF(B88&gt;0,TEXT(B88,"(aaa)"),"")</f>
        <v/>
      </c>
      <c r="D88" s="215"/>
      <c r="E88" s="216"/>
      <c r="F88" s="214" t="str">
        <f aca="false">IF(E88&gt;0,TEXT(E88,"(aaa)"),"")</f>
        <v/>
      </c>
      <c r="G88" s="215"/>
      <c r="H88" s="216"/>
      <c r="I88" s="214" t="str">
        <f aca="false">IF(H88&gt;0,TEXT(H88,"(aaa)"),"")</f>
        <v/>
      </c>
    </row>
    <row r="89" s="214" customFormat="true" ht="16.5" hidden="false" customHeight="false" outlineLevel="0" collapsed="false">
      <c r="A89" s="212"/>
      <c r="B89" s="213"/>
      <c r="C89" s="214" t="str">
        <f aca="false">IF(B89&gt;0,TEXT(B89,"(aaa)"),"")</f>
        <v/>
      </c>
      <c r="D89" s="215"/>
      <c r="E89" s="216"/>
      <c r="F89" s="214" t="str">
        <f aca="false">IF(E89&gt;0,TEXT(E89,"(aaa)"),"")</f>
        <v/>
      </c>
      <c r="G89" s="215"/>
      <c r="H89" s="216"/>
      <c r="I89" s="214" t="str">
        <f aca="false">IF(H89&gt;0,TEXT(H89,"(aaa)"),"")</f>
        <v/>
      </c>
    </row>
    <row r="90" s="214" customFormat="true" ht="16.5" hidden="false" customHeight="false" outlineLevel="0" collapsed="false">
      <c r="A90" s="212"/>
      <c r="B90" s="213"/>
      <c r="C90" s="214" t="str">
        <f aca="false">IF(B90&gt;0,TEXT(B90,"(aaa)"),"")</f>
        <v/>
      </c>
      <c r="D90" s="215"/>
      <c r="E90" s="216"/>
      <c r="F90" s="214" t="str">
        <f aca="false">IF(E90&gt;0,TEXT(E90,"(aaa)"),"")</f>
        <v/>
      </c>
      <c r="G90" s="215"/>
      <c r="H90" s="216"/>
      <c r="I90" s="214" t="str">
        <f aca="false">IF(H90&gt;0,TEXT(H90,"(aaa)"),"")</f>
        <v/>
      </c>
    </row>
    <row r="91" s="214" customFormat="true" ht="16.5" hidden="false" customHeight="false" outlineLevel="0" collapsed="false">
      <c r="A91" s="212"/>
      <c r="B91" s="213"/>
      <c r="C91" s="214" t="str">
        <f aca="false">IF(B91&gt;0,TEXT(B91,"(aaa)"),"")</f>
        <v/>
      </c>
      <c r="D91" s="215"/>
      <c r="E91" s="216"/>
      <c r="F91" s="214" t="str">
        <f aca="false">IF(E91&gt;0,TEXT(E91,"(aaa)"),"")</f>
        <v/>
      </c>
      <c r="G91" s="215"/>
      <c r="H91" s="216"/>
      <c r="I91" s="214" t="str">
        <f aca="false">IF(H91&gt;0,TEXT(H91,"(aaa)"),"")</f>
        <v/>
      </c>
    </row>
    <row r="92" s="214" customFormat="true" ht="16.5" hidden="false" customHeight="false" outlineLevel="0" collapsed="false">
      <c r="A92" s="212"/>
      <c r="B92" s="213"/>
      <c r="C92" s="214" t="str">
        <f aca="false">IF(B92&gt;0,TEXT(B92,"(aaa)"),"")</f>
        <v/>
      </c>
      <c r="D92" s="215"/>
      <c r="E92" s="216"/>
      <c r="F92" s="214" t="str">
        <f aca="false">IF(E92&gt;0,TEXT(E92,"(aaa)"),"")</f>
        <v/>
      </c>
      <c r="G92" s="215"/>
      <c r="H92" s="216"/>
      <c r="I92" s="214" t="str">
        <f aca="false">IF(H92&gt;0,TEXT(H92,"(aaa)"),"")</f>
        <v/>
      </c>
    </row>
    <row r="93" s="214" customFormat="true" ht="16.5" hidden="false" customHeight="false" outlineLevel="0" collapsed="false">
      <c r="A93" s="212"/>
      <c r="B93" s="213"/>
      <c r="C93" s="214" t="str">
        <f aca="false">IF(B93&gt;0,TEXT(B93,"(aaa)"),"")</f>
        <v/>
      </c>
      <c r="D93" s="215"/>
      <c r="E93" s="216"/>
      <c r="F93" s="214" t="str">
        <f aca="false">IF(E93&gt;0,TEXT(E93,"(aaa)"),"")</f>
        <v/>
      </c>
      <c r="G93" s="215"/>
      <c r="H93" s="216"/>
      <c r="I93" s="214" t="str">
        <f aca="false">IF(H93&gt;0,TEXT(H93,"(aaa)"),"")</f>
        <v/>
      </c>
    </row>
    <row r="94" s="214" customFormat="true" ht="16.5" hidden="false" customHeight="false" outlineLevel="0" collapsed="false">
      <c r="A94" s="212"/>
      <c r="B94" s="213"/>
      <c r="C94" s="214" t="str">
        <f aca="false">IF(B94&gt;0,TEXT(B94,"(aaa)"),"")</f>
        <v/>
      </c>
      <c r="D94" s="215"/>
      <c r="E94" s="216"/>
      <c r="F94" s="214" t="str">
        <f aca="false">IF(E94&gt;0,TEXT(E94,"(aaa)"),"")</f>
        <v/>
      </c>
      <c r="G94" s="215"/>
      <c r="H94" s="216"/>
      <c r="I94" s="214" t="str">
        <f aca="false">IF(H94&gt;0,TEXT(H94,"(aaa)"),"")</f>
        <v/>
      </c>
    </row>
    <row r="95" s="214" customFormat="true" ht="16.5" hidden="false" customHeight="false" outlineLevel="0" collapsed="false">
      <c r="A95" s="212"/>
      <c r="B95" s="213"/>
      <c r="C95" s="214" t="str">
        <f aca="false">IF(B95&gt;0,TEXT(B95,"(aaa)"),"")</f>
        <v/>
      </c>
      <c r="D95" s="215"/>
      <c r="E95" s="216"/>
      <c r="F95" s="214" t="str">
        <f aca="false">IF(E95&gt;0,TEXT(E95,"(aaa)"),"")</f>
        <v/>
      </c>
      <c r="G95" s="215"/>
      <c r="H95" s="216"/>
      <c r="I95" s="214" t="str">
        <f aca="false">IF(H95&gt;0,TEXT(H95,"(aaa)"),"")</f>
        <v/>
      </c>
    </row>
    <row r="96" s="214" customFormat="true" ht="16.5" hidden="false" customHeight="false" outlineLevel="0" collapsed="false">
      <c r="A96" s="212"/>
      <c r="B96" s="213"/>
      <c r="C96" s="214" t="str">
        <f aca="false">IF(B96&gt;0,TEXT(B96,"(aaa)"),"")</f>
        <v/>
      </c>
      <c r="D96" s="215"/>
      <c r="E96" s="216"/>
      <c r="F96" s="214" t="str">
        <f aca="false">IF(E96&gt;0,TEXT(E96,"(aaa)"),"")</f>
        <v/>
      </c>
      <c r="G96" s="215"/>
      <c r="H96" s="216"/>
      <c r="I96" s="214" t="str">
        <f aca="false">IF(H96&gt;0,TEXT(H96,"(aaa)"),"")</f>
        <v/>
      </c>
    </row>
    <row r="97" s="214" customFormat="true" ht="16.5" hidden="false" customHeight="false" outlineLevel="0" collapsed="false">
      <c r="A97" s="212"/>
      <c r="B97" s="213"/>
      <c r="C97" s="214" t="str">
        <f aca="false">IF(B97&gt;0,TEXT(B97,"(aaa)"),"")</f>
        <v/>
      </c>
      <c r="D97" s="215"/>
      <c r="E97" s="216"/>
      <c r="F97" s="214" t="str">
        <f aca="false">IF(E97&gt;0,TEXT(E97,"(aaa)"),"")</f>
        <v/>
      </c>
      <c r="G97" s="215"/>
      <c r="H97" s="216"/>
      <c r="I97" s="214" t="str">
        <f aca="false">IF(H97&gt;0,TEXT(H97,"(aaa)"),"")</f>
        <v/>
      </c>
    </row>
    <row r="98" s="214" customFormat="true" ht="16.5" hidden="false" customHeight="false" outlineLevel="0" collapsed="false">
      <c r="A98" s="212"/>
      <c r="B98" s="213"/>
      <c r="C98" s="214" t="str">
        <f aca="false">IF(B98&gt;0,TEXT(B98,"(aaa)"),"")</f>
        <v/>
      </c>
      <c r="D98" s="215"/>
      <c r="E98" s="216"/>
      <c r="F98" s="214" t="str">
        <f aca="false">IF(E98&gt;0,TEXT(E98,"(aaa)"),"")</f>
        <v/>
      </c>
      <c r="G98" s="215"/>
      <c r="H98" s="216"/>
      <c r="I98" s="214" t="str">
        <f aca="false">IF(H98&gt;0,TEXT(H98,"(aaa)"),"")</f>
        <v/>
      </c>
    </row>
    <row r="99" s="214" customFormat="true" ht="16.5" hidden="false" customHeight="false" outlineLevel="0" collapsed="false">
      <c r="A99" s="212"/>
      <c r="B99" s="213"/>
      <c r="C99" s="214" t="str">
        <f aca="false">IF(B99&gt;0,TEXT(B99,"(aaa)"),"")</f>
        <v/>
      </c>
      <c r="D99" s="215"/>
      <c r="E99" s="216"/>
      <c r="F99" s="214" t="str">
        <f aca="false">IF(E99&gt;0,TEXT(E99,"(aaa)"),"")</f>
        <v/>
      </c>
      <c r="G99" s="215"/>
      <c r="H99" s="216"/>
      <c r="I99" s="214" t="str">
        <f aca="false">IF(H99&gt;0,TEXT(H99,"(aaa)"),"")</f>
        <v/>
      </c>
    </row>
    <row r="100" s="214" customFormat="true" ht="16.5" hidden="false" customHeight="false" outlineLevel="0" collapsed="false">
      <c r="A100" s="212"/>
      <c r="B100" s="213"/>
      <c r="C100" s="214" t="str">
        <f aca="false">IF(B100&gt;0,TEXT(B100,"(aaa)"),"")</f>
        <v/>
      </c>
      <c r="D100" s="215"/>
      <c r="E100" s="216"/>
      <c r="F100" s="214" t="str">
        <f aca="false">IF(E100&gt;0,TEXT(E100,"(aaa)"),"")</f>
        <v/>
      </c>
      <c r="G100" s="215"/>
      <c r="H100" s="216"/>
      <c r="I100" s="214" t="str">
        <f aca="false">IF(H100&gt;0,TEXT(H100,"(aaa)"),"")</f>
        <v/>
      </c>
    </row>
    <row r="101" s="214" customFormat="true" ht="16.5" hidden="false" customHeight="false" outlineLevel="0" collapsed="false">
      <c r="A101" s="212"/>
      <c r="B101" s="213"/>
      <c r="C101" s="214" t="str">
        <f aca="false">IF(B101&gt;0,TEXT(B101,"(aaa)"),"")</f>
        <v/>
      </c>
      <c r="D101" s="215"/>
      <c r="E101" s="216"/>
      <c r="F101" s="214" t="str">
        <f aca="false">IF(E101&gt;0,TEXT(E101,"(aaa)"),"")</f>
        <v/>
      </c>
      <c r="G101" s="215"/>
      <c r="H101" s="216"/>
      <c r="I101" s="214" t="str">
        <f aca="false">IF(H101&gt;0,TEXT(H101,"(aaa)"),"")</f>
        <v/>
      </c>
    </row>
    <row r="102" s="214" customFormat="true" ht="16.5" hidden="false" customHeight="false" outlineLevel="0" collapsed="false">
      <c r="A102" s="212"/>
      <c r="B102" s="213"/>
      <c r="C102" s="214" t="str">
        <f aca="false">IF(B102&gt;0,TEXT(B102,"(aaa)"),"")</f>
        <v/>
      </c>
      <c r="D102" s="215"/>
      <c r="E102" s="216"/>
      <c r="F102" s="214" t="str">
        <f aca="false">IF(E102&gt;0,TEXT(E102,"(aaa)"),"")</f>
        <v/>
      </c>
      <c r="G102" s="215"/>
      <c r="H102" s="216"/>
      <c r="I102" s="214" t="str">
        <f aca="false">IF(H102&gt;0,TEXT(H102,"(aaa)"),"")</f>
        <v/>
      </c>
    </row>
    <row r="103" s="214" customFormat="true" ht="16.5" hidden="false" customHeight="false" outlineLevel="0" collapsed="false">
      <c r="A103" s="212"/>
      <c r="B103" s="213"/>
      <c r="C103" s="214" t="str">
        <f aca="false">IF(B103&gt;0,TEXT(B103,"(aaa)"),"")</f>
        <v/>
      </c>
      <c r="D103" s="215"/>
      <c r="E103" s="216"/>
      <c r="F103" s="214" t="str">
        <f aca="false">IF(E103&gt;0,TEXT(E103,"(aaa)"),"")</f>
        <v/>
      </c>
      <c r="G103" s="215"/>
      <c r="H103" s="216"/>
      <c r="I103" s="214" t="str">
        <f aca="false">IF(H103&gt;0,TEXT(H103,"(aaa)"),"")</f>
        <v/>
      </c>
    </row>
    <row r="104" s="214" customFormat="true" ht="16.5" hidden="false" customHeight="false" outlineLevel="0" collapsed="false">
      <c r="A104" s="212"/>
      <c r="B104" s="213"/>
      <c r="C104" s="214" t="str">
        <f aca="false">IF(B104&gt;0,TEXT(B104,"(aaa)"),"")</f>
        <v/>
      </c>
      <c r="D104" s="215"/>
      <c r="E104" s="216"/>
      <c r="F104" s="214" t="str">
        <f aca="false">IF(E104&gt;0,TEXT(E104,"(aaa)"),"")</f>
        <v/>
      </c>
      <c r="G104" s="215"/>
      <c r="H104" s="216"/>
      <c r="I104" s="214" t="str">
        <f aca="false">IF(H104&gt;0,TEXT(H104,"(aaa)"),"")</f>
        <v/>
      </c>
    </row>
    <row r="105" s="214" customFormat="true" ht="16.5" hidden="false" customHeight="false" outlineLevel="0" collapsed="false">
      <c r="A105" s="212"/>
      <c r="B105" s="213"/>
      <c r="C105" s="214" t="str">
        <f aca="false">IF(B105&gt;0,TEXT(B105,"(aaa)"),"")</f>
        <v/>
      </c>
      <c r="D105" s="215"/>
      <c r="E105" s="216"/>
      <c r="F105" s="214" t="str">
        <f aca="false">IF(E105&gt;0,TEXT(E105,"(aaa)"),"")</f>
        <v/>
      </c>
      <c r="G105" s="215"/>
      <c r="H105" s="216"/>
      <c r="I105" s="214" t="str">
        <f aca="false">IF(H105&gt;0,TEXT(H105,"(aaa)"),"")</f>
        <v/>
      </c>
    </row>
    <row r="106" s="214" customFormat="true" ht="16.5" hidden="false" customHeight="false" outlineLevel="0" collapsed="false">
      <c r="A106" s="212"/>
      <c r="B106" s="213"/>
      <c r="C106" s="214" t="str">
        <f aca="false">IF(B106&gt;0,TEXT(B106,"(aaa)"),"")</f>
        <v/>
      </c>
      <c r="D106" s="215"/>
      <c r="E106" s="216"/>
      <c r="F106" s="214" t="str">
        <f aca="false">IF(E106&gt;0,TEXT(E106,"(aaa)"),"")</f>
        <v/>
      </c>
      <c r="G106" s="215"/>
      <c r="H106" s="216"/>
      <c r="I106" s="214" t="str">
        <f aca="false">IF(H106&gt;0,TEXT(H106,"(aaa)"),"")</f>
        <v/>
      </c>
    </row>
    <row r="107" s="214" customFormat="true" ht="16.5" hidden="false" customHeight="false" outlineLevel="0" collapsed="false">
      <c r="A107" s="212"/>
      <c r="B107" s="213"/>
      <c r="C107" s="214" t="str">
        <f aca="false">IF(B107&gt;0,TEXT(B107,"(aaa)"),"")</f>
        <v/>
      </c>
      <c r="D107" s="215"/>
      <c r="E107" s="216"/>
      <c r="F107" s="214" t="str">
        <f aca="false">IF(E107&gt;0,TEXT(E107,"(aaa)"),"")</f>
        <v/>
      </c>
      <c r="G107" s="215"/>
      <c r="H107" s="216"/>
      <c r="I107" s="214" t="str">
        <f aca="false">IF(H107&gt;0,TEXT(H107,"(aaa)"),"")</f>
        <v/>
      </c>
    </row>
    <row r="108" s="214" customFormat="true" ht="16.5" hidden="false" customHeight="false" outlineLevel="0" collapsed="false">
      <c r="A108" s="212"/>
      <c r="B108" s="213"/>
      <c r="C108" s="214" t="str">
        <f aca="false">IF(B108&gt;0,TEXT(B108,"(aaa)"),"")</f>
        <v/>
      </c>
      <c r="D108" s="215"/>
      <c r="E108" s="216"/>
      <c r="F108" s="214" t="str">
        <f aca="false">IF(E108&gt;0,TEXT(E108,"(aaa)"),"")</f>
        <v/>
      </c>
      <c r="G108" s="215"/>
      <c r="H108" s="216"/>
      <c r="I108" s="214" t="str">
        <f aca="false">IF(H108&gt;0,TEXT(H108,"(aaa)"),"")</f>
        <v/>
      </c>
    </row>
    <row r="109" s="214" customFormat="true" ht="16.5" hidden="false" customHeight="false" outlineLevel="0" collapsed="false">
      <c r="A109" s="212"/>
      <c r="B109" s="213"/>
      <c r="C109" s="214" t="str">
        <f aca="false">IF(B109&gt;0,TEXT(B109,"(aaa)"),"")</f>
        <v/>
      </c>
      <c r="D109" s="215"/>
      <c r="E109" s="216"/>
      <c r="F109" s="214" t="str">
        <f aca="false">IF(E109&gt;0,TEXT(E109,"(aaa)"),"")</f>
        <v/>
      </c>
      <c r="G109" s="215"/>
      <c r="H109" s="216"/>
      <c r="I109" s="214" t="str">
        <f aca="false">IF(H109&gt;0,TEXT(H109,"(aaa)"),"")</f>
        <v/>
      </c>
    </row>
    <row r="110" s="214" customFormat="true" ht="16.5" hidden="false" customHeight="false" outlineLevel="0" collapsed="false">
      <c r="A110" s="212"/>
      <c r="B110" s="213"/>
      <c r="C110" s="214" t="str">
        <f aca="false">IF(B110&gt;0,TEXT(B110,"(aaa)"),"")</f>
        <v/>
      </c>
      <c r="D110" s="215"/>
      <c r="E110" s="216"/>
      <c r="F110" s="214" t="str">
        <f aca="false">IF(E110&gt;0,TEXT(E110,"(aaa)"),"")</f>
        <v/>
      </c>
      <c r="G110" s="215"/>
      <c r="H110" s="216"/>
      <c r="I110" s="214" t="str">
        <f aca="false">IF(H110&gt;0,TEXT(H110,"(aaa)"),"")</f>
        <v/>
      </c>
    </row>
    <row r="111" s="214" customFormat="true" ht="16.5" hidden="false" customHeight="false" outlineLevel="0" collapsed="false">
      <c r="A111" s="212"/>
      <c r="B111" s="213"/>
      <c r="C111" s="214" t="str">
        <f aca="false">IF(B111&gt;0,TEXT(B111,"(aaa)"),"")</f>
        <v/>
      </c>
      <c r="D111" s="215"/>
      <c r="E111" s="216"/>
      <c r="F111" s="214" t="str">
        <f aca="false">IF(E111&gt;0,TEXT(E111,"(aaa)"),"")</f>
        <v/>
      </c>
      <c r="G111" s="215"/>
      <c r="H111" s="216"/>
      <c r="I111" s="214" t="str">
        <f aca="false">IF(H111&gt;0,TEXT(H111,"(aaa)"),"")</f>
        <v/>
      </c>
    </row>
    <row r="112" s="214" customFormat="true" ht="16.5" hidden="false" customHeight="false" outlineLevel="0" collapsed="false">
      <c r="A112" s="212"/>
      <c r="B112" s="213"/>
      <c r="C112" s="214" t="str">
        <f aca="false">IF(B112&gt;0,TEXT(B112,"(aaa)"),"")</f>
        <v/>
      </c>
      <c r="D112" s="215"/>
      <c r="E112" s="216"/>
      <c r="F112" s="214" t="str">
        <f aca="false">IF(E112&gt;0,TEXT(E112,"(aaa)"),"")</f>
        <v/>
      </c>
      <c r="G112" s="215"/>
      <c r="H112" s="216"/>
      <c r="I112" s="214" t="str">
        <f aca="false">IF(H112&gt;0,TEXT(H112,"(aaa)"),"")</f>
        <v/>
      </c>
    </row>
    <row r="113" s="214" customFormat="true" ht="16.5" hidden="false" customHeight="false" outlineLevel="0" collapsed="false">
      <c r="A113" s="212"/>
      <c r="B113" s="213"/>
      <c r="C113" s="214" t="str">
        <f aca="false">IF(B113&gt;0,TEXT(B113,"(aaa)"),"")</f>
        <v/>
      </c>
      <c r="D113" s="215"/>
      <c r="E113" s="216"/>
      <c r="F113" s="214" t="str">
        <f aca="false">IF(E113&gt;0,TEXT(E113,"(aaa)"),"")</f>
        <v/>
      </c>
      <c r="G113" s="215"/>
      <c r="H113" s="216"/>
      <c r="I113" s="214" t="str">
        <f aca="false">IF(H113&gt;0,TEXT(H113,"(aaa)"),"")</f>
        <v/>
      </c>
    </row>
    <row r="114" s="214" customFormat="true" ht="16.5" hidden="false" customHeight="false" outlineLevel="0" collapsed="false">
      <c r="A114" s="212"/>
      <c r="B114" s="213"/>
      <c r="C114" s="214" t="str">
        <f aca="false">IF(B114&gt;0,TEXT(B114,"(aaa)"),"")</f>
        <v/>
      </c>
      <c r="D114" s="215"/>
      <c r="E114" s="216"/>
      <c r="F114" s="214" t="str">
        <f aca="false">IF(E114&gt;0,TEXT(E114,"(aaa)"),"")</f>
        <v/>
      </c>
      <c r="G114" s="215"/>
      <c r="H114" s="216"/>
      <c r="I114" s="214" t="str">
        <f aca="false">IF(H114&gt;0,TEXT(H114,"(aaa)"),"")</f>
        <v/>
      </c>
    </row>
    <row r="115" s="214" customFormat="true" ht="16.5" hidden="false" customHeight="false" outlineLevel="0" collapsed="false">
      <c r="A115" s="212"/>
      <c r="B115" s="213"/>
      <c r="C115" s="214" t="str">
        <f aca="false">IF(B115&gt;0,TEXT(B115,"(aaa)"),"")</f>
        <v/>
      </c>
      <c r="D115" s="215"/>
      <c r="E115" s="216"/>
      <c r="F115" s="214" t="str">
        <f aca="false">IF(E115&gt;0,TEXT(E115,"(aaa)"),"")</f>
        <v/>
      </c>
      <c r="G115" s="215"/>
      <c r="H115" s="216"/>
      <c r="I115" s="214" t="str">
        <f aca="false">IF(H115&gt;0,TEXT(H115,"(aaa)"),"")</f>
        <v/>
      </c>
    </row>
    <row r="116" s="214" customFormat="true" ht="16.5" hidden="false" customHeight="false" outlineLevel="0" collapsed="false">
      <c r="A116" s="212"/>
      <c r="B116" s="213"/>
      <c r="C116" s="214" t="str">
        <f aca="false">IF(B116&gt;0,TEXT(B116,"(aaa)"),"")</f>
        <v/>
      </c>
      <c r="D116" s="215"/>
      <c r="E116" s="216"/>
      <c r="F116" s="214" t="str">
        <f aca="false">IF(E116&gt;0,TEXT(E116,"(aaa)"),"")</f>
        <v/>
      </c>
      <c r="G116" s="215"/>
      <c r="H116" s="216"/>
      <c r="I116" s="214" t="str">
        <f aca="false">IF(H116&gt;0,TEXT(H116,"(aaa)"),"")</f>
        <v/>
      </c>
    </row>
    <row r="117" s="214" customFormat="true" ht="16.5" hidden="false" customHeight="false" outlineLevel="0" collapsed="false">
      <c r="A117" s="212"/>
      <c r="B117" s="213"/>
      <c r="C117" s="214" t="str">
        <f aca="false">IF(B117&gt;0,TEXT(B117,"(aaa)"),"")</f>
        <v/>
      </c>
      <c r="D117" s="215"/>
      <c r="E117" s="216"/>
      <c r="F117" s="214" t="str">
        <f aca="false">IF(E117&gt;0,TEXT(E117,"(aaa)"),"")</f>
        <v/>
      </c>
      <c r="G117" s="215"/>
      <c r="H117" s="216"/>
      <c r="I117" s="214" t="str">
        <f aca="false">IF(H117&gt;0,TEXT(H117,"(aaa)"),"")</f>
        <v/>
      </c>
    </row>
    <row r="118" s="214" customFormat="true" ht="16.5" hidden="false" customHeight="false" outlineLevel="0" collapsed="false">
      <c r="A118" s="212"/>
      <c r="B118" s="213"/>
      <c r="C118" s="214" t="str">
        <f aca="false">IF(B118&gt;0,TEXT(B118,"(aaa)"),"")</f>
        <v/>
      </c>
      <c r="D118" s="215"/>
      <c r="E118" s="216"/>
      <c r="F118" s="214" t="str">
        <f aca="false">IF(E118&gt;0,TEXT(E118,"(aaa)"),"")</f>
        <v/>
      </c>
      <c r="G118" s="215"/>
      <c r="H118" s="216"/>
      <c r="I118" s="214" t="str">
        <f aca="false">IF(H118&gt;0,TEXT(H118,"(aaa)"),"")</f>
        <v/>
      </c>
    </row>
    <row r="119" s="214" customFormat="true" ht="16.5" hidden="false" customHeight="false" outlineLevel="0" collapsed="false">
      <c r="A119" s="212"/>
      <c r="B119" s="213"/>
      <c r="C119" s="214" t="str">
        <f aca="false">IF(B119&gt;0,TEXT(B119,"(aaa)"),"")</f>
        <v/>
      </c>
      <c r="D119" s="215"/>
      <c r="E119" s="216"/>
      <c r="F119" s="214" t="str">
        <f aca="false">IF(E119&gt;0,TEXT(E119,"(aaa)"),"")</f>
        <v/>
      </c>
      <c r="G119" s="215"/>
      <c r="H119" s="216"/>
      <c r="I119" s="214" t="str">
        <f aca="false">IF(H119&gt;0,TEXT(H119,"(aaa)"),"")</f>
        <v/>
      </c>
    </row>
    <row r="120" s="214" customFormat="true" ht="16.5" hidden="false" customHeight="false" outlineLevel="0" collapsed="false">
      <c r="A120" s="212"/>
      <c r="B120" s="213"/>
      <c r="C120" s="214" t="str">
        <f aca="false">IF(B120&gt;0,TEXT(B120,"(aaa)"),"")</f>
        <v/>
      </c>
      <c r="D120" s="215"/>
      <c r="E120" s="216"/>
      <c r="F120" s="214" t="str">
        <f aca="false">IF(E120&gt;0,TEXT(E120,"(aaa)"),"")</f>
        <v/>
      </c>
      <c r="G120" s="215"/>
      <c r="H120" s="216"/>
      <c r="I120" s="214" t="str">
        <f aca="false">IF(H120&gt;0,TEXT(H120,"(aaa)"),"")</f>
        <v/>
      </c>
    </row>
    <row r="121" s="214" customFormat="true" ht="16.5" hidden="false" customHeight="false" outlineLevel="0" collapsed="false">
      <c r="A121" s="212"/>
      <c r="B121" s="213"/>
      <c r="C121" s="214" t="str">
        <f aca="false">IF(B121&gt;0,TEXT(B121,"(aaa)"),"")</f>
        <v/>
      </c>
      <c r="D121" s="215"/>
      <c r="E121" s="216"/>
      <c r="F121" s="214" t="str">
        <f aca="false">IF(E121&gt;0,TEXT(E121,"(aaa)"),"")</f>
        <v/>
      </c>
      <c r="G121" s="215"/>
      <c r="H121" s="216"/>
      <c r="I121" s="214" t="str">
        <f aca="false">IF(H121&gt;0,TEXT(H121,"(aaa)"),"")</f>
        <v/>
      </c>
    </row>
    <row r="122" s="214" customFormat="true" ht="16.5" hidden="false" customHeight="false" outlineLevel="0" collapsed="false">
      <c r="A122" s="212"/>
      <c r="B122" s="213"/>
      <c r="C122" s="214" t="str">
        <f aca="false">IF(B122&gt;0,TEXT(B122,"(aaa)"),"")</f>
        <v/>
      </c>
      <c r="D122" s="215"/>
      <c r="E122" s="216"/>
      <c r="F122" s="214" t="str">
        <f aca="false">IF(E122&gt;0,TEXT(E122,"(aaa)"),"")</f>
        <v/>
      </c>
      <c r="G122" s="215"/>
      <c r="H122" s="216"/>
      <c r="I122" s="214" t="str">
        <f aca="false">IF(H122&gt;0,TEXT(H122,"(aaa)"),"")</f>
        <v/>
      </c>
    </row>
    <row r="123" s="214" customFormat="true" ht="16.5" hidden="false" customHeight="false" outlineLevel="0" collapsed="false">
      <c r="A123" s="212"/>
      <c r="B123" s="213"/>
      <c r="C123" s="214" t="str">
        <f aca="false">IF(B123&gt;0,TEXT(B123,"(aaa)"),"")</f>
        <v/>
      </c>
      <c r="D123" s="215"/>
      <c r="E123" s="216"/>
      <c r="F123" s="214" t="str">
        <f aca="false">IF(E123&gt;0,TEXT(E123,"(aaa)"),"")</f>
        <v/>
      </c>
      <c r="G123" s="215"/>
      <c r="H123" s="216"/>
      <c r="I123" s="214" t="str">
        <f aca="false">IF(H123&gt;0,TEXT(H123,"(aaa)"),"")</f>
        <v/>
      </c>
    </row>
    <row r="124" s="214" customFormat="true" ht="16.5" hidden="false" customHeight="false" outlineLevel="0" collapsed="false">
      <c r="A124" s="212"/>
      <c r="B124" s="213"/>
      <c r="C124" s="214" t="str">
        <f aca="false">IF(B124&gt;0,TEXT(B124,"(aaa)"),"")</f>
        <v/>
      </c>
      <c r="D124" s="215"/>
      <c r="E124" s="216"/>
      <c r="F124" s="214" t="str">
        <f aca="false">IF(E124&gt;0,TEXT(E124,"(aaa)"),"")</f>
        <v/>
      </c>
      <c r="G124" s="215"/>
      <c r="H124" s="216"/>
      <c r="I124" s="214" t="str">
        <f aca="false">IF(H124&gt;0,TEXT(H124,"(aaa)"),"")</f>
        <v/>
      </c>
    </row>
    <row r="125" s="214" customFormat="true" ht="16.5" hidden="false" customHeight="false" outlineLevel="0" collapsed="false">
      <c r="A125" s="212"/>
      <c r="B125" s="213"/>
      <c r="C125" s="214" t="str">
        <f aca="false">IF(B125&gt;0,TEXT(B125,"(aaa)"),"")</f>
        <v/>
      </c>
      <c r="D125" s="215"/>
      <c r="E125" s="216"/>
      <c r="F125" s="214" t="str">
        <f aca="false">IF(E125&gt;0,TEXT(E125,"(aaa)"),"")</f>
        <v/>
      </c>
      <c r="G125" s="215"/>
      <c r="H125" s="216"/>
      <c r="I125" s="214" t="str">
        <f aca="false">IF(H125&gt;0,TEXT(H125,"(aaa)"),"")</f>
        <v/>
      </c>
    </row>
    <row r="126" s="214" customFormat="true" ht="16.5" hidden="false" customHeight="false" outlineLevel="0" collapsed="false">
      <c r="A126" s="212"/>
      <c r="B126" s="213"/>
      <c r="C126" s="214" t="str">
        <f aca="false">IF(B126&gt;0,TEXT(B126,"(aaa)"),"")</f>
        <v/>
      </c>
      <c r="D126" s="215"/>
      <c r="E126" s="216"/>
      <c r="F126" s="214" t="str">
        <f aca="false">IF(E126&gt;0,TEXT(E126,"(aaa)"),"")</f>
        <v/>
      </c>
      <c r="G126" s="215"/>
      <c r="H126" s="216"/>
      <c r="I126" s="214" t="str">
        <f aca="false">IF(H126&gt;0,TEXT(H126,"(aaa)"),"")</f>
        <v/>
      </c>
    </row>
    <row r="127" s="214" customFormat="true" ht="16.5" hidden="false" customHeight="false" outlineLevel="0" collapsed="false">
      <c r="A127" s="212"/>
      <c r="B127" s="213"/>
      <c r="C127" s="214" t="str">
        <f aca="false">IF(B127&gt;0,TEXT(B127,"(aaa)"),"")</f>
        <v/>
      </c>
      <c r="D127" s="215"/>
      <c r="E127" s="216"/>
      <c r="F127" s="214" t="str">
        <f aca="false">IF(E127&gt;0,TEXT(E127,"(aaa)"),"")</f>
        <v/>
      </c>
      <c r="G127" s="215"/>
      <c r="H127" s="216"/>
      <c r="I127" s="214" t="str">
        <f aca="false">IF(H127&gt;0,TEXT(H127,"(aaa)"),"")</f>
        <v/>
      </c>
    </row>
    <row r="128" s="214" customFormat="true" ht="16.5" hidden="false" customHeight="false" outlineLevel="0" collapsed="false">
      <c r="A128" s="212"/>
      <c r="B128" s="213"/>
      <c r="C128" s="214" t="str">
        <f aca="false">IF(B128&gt;0,TEXT(B128,"(aaa)"),"")</f>
        <v/>
      </c>
      <c r="D128" s="215"/>
      <c r="E128" s="216"/>
      <c r="F128" s="214" t="str">
        <f aca="false">IF(E128&gt;0,TEXT(E128,"(aaa)"),"")</f>
        <v/>
      </c>
      <c r="G128" s="215"/>
      <c r="H128" s="216"/>
      <c r="I128" s="214" t="str">
        <f aca="false">IF(H128&gt;0,TEXT(H128,"(aaa)"),"")</f>
        <v/>
      </c>
    </row>
    <row r="129" s="214" customFormat="true" ht="16.5" hidden="false" customHeight="false" outlineLevel="0" collapsed="false">
      <c r="A129" s="212"/>
      <c r="B129" s="213"/>
      <c r="C129" s="214" t="str">
        <f aca="false">IF(B129&gt;0,TEXT(B129,"(aaa)"),"")</f>
        <v/>
      </c>
      <c r="D129" s="215"/>
      <c r="E129" s="216"/>
      <c r="F129" s="214" t="str">
        <f aca="false">IF(E129&gt;0,TEXT(E129,"(aaa)"),"")</f>
        <v/>
      </c>
      <c r="G129" s="215"/>
      <c r="H129" s="216"/>
      <c r="I129" s="214" t="str">
        <f aca="false">IF(H129&gt;0,TEXT(H129,"(aaa)"),"")</f>
        <v/>
      </c>
    </row>
    <row r="130" s="214" customFormat="true" ht="16.5" hidden="false" customHeight="false" outlineLevel="0" collapsed="false">
      <c r="A130" s="212"/>
      <c r="B130" s="213"/>
      <c r="C130" s="214" t="str">
        <f aca="false">IF(B130&gt;0,TEXT(B130,"(aaa)"),"")</f>
        <v/>
      </c>
      <c r="D130" s="215"/>
      <c r="E130" s="216"/>
      <c r="F130" s="214" t="str">
        <f aca="false">IF(E130&gt;0,TEXT(E130,"(aaa)"),"")</f>
        <v/>
      </c>
      <c r="G130" s="215"/>
      <c r="H130" s="216"/>
      <c r="I130" s="214" t="str">
        <f aca="false">IF(H130&gt;0,TEXT(H130,"(aaa)"),"")</f>
        <v/>
      </c>
    </row>
    <row r="131" s="214" customFormat="true" ht="16.5" hidden="false" customHeight="false" outlineLevel="0" collapsed="false">
      <c r="A131" s="212"/>
      <c r="B131" s="213"/>
      <c r="C131" s="214" t="str">
        <f aca="false">IF(B131&gt;0,TEXT(B131,"(aaa)"),"")</f>
        <v/>
      </c>
      <c r="D131" s="215"/>
      <c r="E131" s="216"/>
      <c r="F131" s="214" t="str">
        <f aca="false">IF(E131&gt;0,TEXT(E131,"(aaa)"),"")</f>
        <v/>
      </c>
      <c r="G131" s="215"/>
      <c r="H131" s="216"/>
      <c r="I131" s="214" t="str">
        <f aca="false">IF(H131&gt;0,TEXT(H131,"(aaa)"),"")</f>
        <v/>
      </c>
    </row>
    <row r="132" s="214" customFormat="true" ht="16.5" hidden="false" customHeight="false" outlineLevel="0" collapsed="false">
      <c r="A132" s="212"/>
      <c r="B132" s="213"/>
      <c r="C132" s="214" t="str">
        <f aca="false">IF(B132&gt;0,TEXT(B132,"(aaa)"),"")</f>
        <v/>
      </c>
      <c r="D132" s="215"/>
      <c r="E132" s="216"/>
      <c r="F132" s="214" t="str">
        <f aca="false">IF(E132&gt;0,TEXT(E132,"(aaa)"),"")</f>
        <v/>
      </c>
      <c r="G132" s="215"/>
      <c r="H132" s="216"/>
      <c r="I132" s="214" t="str">
        <f aca="false">IF(H132&gt;0,TEXT(H132,"(aaa)"),"")</f>
        <v/>
      </c>
    </row>
    <row r="133" s="214" customFormat="true" ht="16.5" hidden="false" customHeight="false" outlineLevel="0" collapsed="false">
      <c r="A133" s="212"/>
      <c r="B133" s="213"/>
      <c r="C133" s="214" t="str">
        <f aca="false">IF(B133&gt;0,TEXT(B133,"(aaa)"),"")</f>
        <v/>
      </c>
      <c r="D133" s="215"/>
      <c r="E133" s="216"/>
      <c r="F133" s="214" t="str">
        <f aca="false">IF(E133&gt;0,TEXT(E133,"(aaa)"),"")</f>
        <v/>
      </c>
      <c r="G133" s="215"/>
      <c r="H133" s="216"/>
      <c r="I133" s="214" t="str">
        <f aca="false">IF(H133&gt;0,TEXT(H133,"(aaa)"),"")</f>
        <v/>
      </c>
    </row>
    <row r="134" s="214" customFormat="true" ht="16.5" hidden="false" customHeight="false" outlineLevel="0" collapsed="false">
      <c r="A134" s="212"/>
      <c r="B134" s="213"/>
      <c r="C134" s="214" t="str">
        <f aca="false">IF(B134&gt;0,TEXT(B134,"(aaa)"),"")</f>
        <v/>
      </c>
      <c r="D134" s="215"/>
      <c r="E134" s="216"/>
      <c r="F134" s="214" t="str">
        <f aca="false">IF(E134&gt;0,TEXT(E134,"(aaa)"),"")</f>
        <v/>
      </c>
      <c r="G134" s="215"/>
      <c r="H134" s="216"/>
      <c r="I134" s="214" t="str">
        <f aca="false">IF(H134&gt;0,TEXT(H134,"(aaa)"),"")</f>
        <v/>
      </c>
    </row>
    <row r="135" s="214" customFormat="true" ht="16.5" hidden="false" customHeight="false" outlineLevel="0" collapsed="false">
      <c r="A135" s="212"/>
      <c r="B135" s="213"/>
      <c r="C135" s="214" t="str">
        <f aca="false">IF(B135&gt;0,TEXT(B135,"(aaa)"),"")</f>
        <v/>
      </c>
      <c r="D135" s="215"/>
      <c r="E135" s="216"/>
      <c r="F135" s="214" t="str">
        <f aca="false">IF(E135&gt;0,TEXT(E135,"(aaa)"),"")</f>
        <v/>
      </c>
      <c r="G135" s="215"/>
      <c r="H135" s="216"/>
      <c r="I135" s="214" t="str">
        <f aca="false">IF(H135&gt;0,TEXT(H135,"(aaa)"),"")</f>
        <v/>
      </c>
    </row>
    <row r="136" s="214" customFormat="true" ht="16.5" hidden="false" customHeight="false" outlineLevel="0" collapsed="false">
      <c r="A136" s="212"/>
      <c r="B136" s="213"/>
      <c r="C136" s="214" t="str">
        <f aca="false">IF(B136&gt;0,TEXT(B136,"(aaa)"),"")</f>
        <v/>
      </c>
      <c r="D136" s="215"/>
      <c r="E136" s="216"/>
      <c r="F136" s="214" t="str">
        <f aca="false">IF(E136&gt;0,TEXT(E136,"(aaa)"),"")</f>
        <v/>
      </c>
      <c r="G136" s="215"/>
      <c r="H136" s="216"/>
      <c r="I136" s="214" t="str">
        <f aca="false">IF(H136&gt;0,TEXT(H136,"(aaa)"),"")</f>
        <v/>
      </c>
    </row>
    <row r="137" s="214" customFormat="true" ht="16.5" hidden="false" customHeight="false" outlineLevel="0" collapsed="false">
      <c r="A137" s="212"/>
      <c r="B137" s="213"/>
      <c r="C137" s="214" t="str">
        <f aca="false">IF(B137&gt;0,TEXT(B137,"(aaa)"),"")</f>
        <v/>
      </c>
      <c r="D137" s="215"/>
      <c r="E137" s="216"/>
      <c r="F137" s="214" t="str">
        <f aca="false">IF(E137&gt;0,TEXT(E137,"(aaa)"),"")</f>
        <v/>
      </c>
      <c r="G137" s="215"/>
      <c r="H137" s="216"/>
      <c r="I137" s="214" t="str">
        <f aca="false">IF(H137&gt;0,TEXT(H137,"(aaa)"),"")</f>
        <v/>
      </c>
    </row>
    <row r="138" s="214" customFormat="true" ht="16.5" hidden="false" customHeight="false" outlineLevel="0" collapsed="false">
      <c r="A138" s="212"/>
      <c r="B138" s="213"/>
      <c r="C138" s="214" t="str">
        <f aca="false">IF(B138&gt;0,TEXT(B138,"(aaa)"),"")</f>
        <v/>
      </c>
      <c r="D138" s="215"/>
      <c r="E138" s="216"/>
      <c r="F138" s="214" t="str">
        <f aca="false">IF(E138&gt;0,TEXT(E138,"(aaa)"),"")</f>
        <v/>
      </c>
      <c r="G138" s="215"/>
      <c r="H138" s="216"/>
      <c r="I138" s="214" t="str">
        <f aca="false">IF(H138&gt;0,TEXT(H138,"(aaa)"),"")</f>
        <v/>
      </c>
    </row>
    <row r="139" s="214" customFormat="true" ht="16.5" hidden="false" customHeight="false" outlineLevel="0" collapsed="false">
      <c r="A139" s="212"/>
      <c r="B139" s="213"/>
      <c r="C139" s="214" t="str">
        <f aca="false">IF(B139&gt;0,TEXT(B139,"(aaa)"),"")</f>
        <v/>
      </c>
      <c r="D139" s="215"/>
      <c r="E139" s="216"/>
      <c r="F139" s="214" t="str">
        <f aca="false">IF(E139&gt;0,TEXT(E139,"(aaa)"),"")</f>
        <v/>
      </c>
      <c r="G139" s="215"/>
      <c r="H139" s="216"/>
      <c r="I139" s="214" t="str">
        <f aca="false">IF(H139&gt;0,TEXT(H139,"(aaa)"),"")</f>
        <v/>
      </c>
    </row>
    <row r="140" s="214" customFormat="true" ht="16.5" hidden="false" customHeight="false" outlineLevel="0" collapsed="false">
      <c r="A140" s="212"/>
      <c r="B140" s="213"/>
      <c r="C140" s="214" t="str">
        <f aca="false">IF(B140&gt;0,TEXT(B140,"(aaa)"),"")</f>
        <v/>
      </c>
      <c r="D140" s="215"/>
      <c r="E140" s="216"/>
      <c r="F140" s="214" t="str">
        <f aca="false">IF(E140&gt;0,TEXT(E140,"(aaa)"),"")</f>
        <v/>
      </c>
      <c r="G140" s="215"/>
      <c r="H140" s="216"/>
      <c r="I140" s="214" t="str">
        <f aca="false">IF(H140&gt;0,TEXT(H140,"(aaa)"),"")</f>
        <v/>
      </c>
    </row>
    <row r="141" s="214" customFormat="true" ht="16.5" hidden="false" customHeight="false" outlineLevel="0" collapsed="false">
      <c r="A141" s="212"/>
      <c r="B141" s="213"/>
      <c r="C141" s="214" t="str">
        <f aca="false">IF(B141&gt;0,TEXT(B141,"(aaa)"),"")</f>
        <v/>
      </c>
      <c r="D141" s="215"/>
      <c r="E141" s="216"/>
      <c r="F141" s="214" t="str">
        <f aca="false">IF(E141&gt;0,TEXT(E141,"(aaa)"),"")</f>
        <v/>
      </c>
      <c r="G141" s="215"/>
      <c r="H141" s="216"/>
      <c r="I141" s="214" t="str">
        <f aca="false">IF(H141&gt;0,TEXT(H141,"(aaa)"),"")</f>
        <v/>
      </c>
    </row>
    <row r="142" s="214" customFormat="true" ht="16.5" hidden="false" customHeight="false" outlineLevel="0" collapsed="false">
      <c r="A142" s="212"/>
      <c r="B142" s="213"/>
      <c r="C142" s="214" t="str">
        <f aca="false">IF(B142&gt;0,TEXT(B142,"(aaa)"),"")</f>
        <v/>
      </c>
      <c r="D142" s="215"/>
      <c r="E142" s="216"/>
      <c r="F142" s="214" t="str">
        <f aca="false">IF(E142&gt;0,TEXT(E142,"(aaa)"),"")</f>
        <v/>
      </c>
      <c r="G142" s="215"/>
      <c r="H142" s="216"/>
      <c r="I142" s="214" t="str">
        <f aca="false">IF(H142&gt;0,TEXT(H142,"(aaa)"),"")</f>
        <v/>
      </c>
    </row>
    <row r="143" s="214" customFormat="true" ht="16.5" hidden="false" customHeight="false" outlineLevel="0" collapsed="false">
      <c r="A143" s="212"/>
      <c r="B143" s="213"/>
      <c r="C143" s="214" t="str">
        <f aca="false">IF(B143&gt;0,TEXT(B143,"(aaa)"),"")</f>
        <v/>
      </c>
      <c r="D143" s="215"/>
      <c r="E143" s="216"/>
      <c r="F143" s="214" t="str">
        <f aca="false">IF(E143&gt;0,TEXT(E143,"(aaa)"),"")</f>
        <v/>
      </c>
      <c r="G143" s="215"/>
      <c r="H143" s="216"/>
      <c r="I143" s="214" t="str">
        <f aca="false">IF(H143&gt;0,TEXT(H143,"(aaa)"),"")</f>
        <v/>
      </c>
    </row>
    <row r="144" s="214" customFormat="true" ht="16.5" hidden="false" customHeight="false" outlineLevel="0" collapsed="false">
      <c r="A144" s="212"/>
      <c r="B144" s="213"/>
      <c r="C144" s="214" t="str">
        <f aca="false">IF(B144&gt;0,TEXT(B144,"(aaa)"),"")</f>
        <v/>
      </c>
      <c r="D144" s="215"/>
      <c r="E144" s="216"/>
      <c r="F144" s="214" t="str">
        <f aca="false">IF(E144&gt;0,TEXT(E144,"(aaa)"),"")</f>
        <v/>
      </c>
      <c r="G144" s="215"/>
      <c r="H144" s="216"/>
      <c r="I144" s="214" t="str">
        <f aca="false">IF(H144&gt;0,TEXT(H144,"(aaa)"),"")</f>
        <v/>
      </c>
    </row>
    <row r="145" s="214" customFormat="true" ht="16.5" hidden="false" customHeight="false" outlineLevel="0" collapsed="false">
      <c r="A145" s="212"/>
      <c r="B145" s="213"/>
      <c r="C145" s="214" t="str">
        <f aca="false">IF(B145&gt;0,TEXT(B145,"(aaa)"),"")</f>
        <v/>
      </c>
      <c r="D145" s="215"/>
      <c r="E145" s="216"/>
      <c r="F145" s="214" t="str">
        <f aca="false">IF(E145&gt;0,TEXT(E145,"(aaa)"),"")</f>
        <v/>
      </c>
      <c r="G145" s="215"/>
      <c r="H145" s="216"/>
      <c r="I145" s="214" t="str">
        <f aca="false">IF(H145&gt;0,TEXT(H145,"(aaa)"),"")</f>
        <v/>
      </c>
    </row>
    <row r="146" s="214" customFormat="true" ht="16.5" hidden="false" customHeight="false" outlineLevel="0" collapsed="false">
      <c r="A146" s="212"/>
      <c r="B146" s="213"/>
      <c r="C146" s="214" t="str">
        <f aca="false">IF(B146&gt;0,TEXT(B146,"(aaa)"),"")</f>
        <v/>
      </c>
      <c r="D146" s="215"/>
      <c r="E146" s="216"/>
      <c r="F146" s="214" t="str">
        <f aca="false">IF(E146&gt;0,TEXT(E146,"(aaa)"),"")</f>
        <v/>
      </c>
      <c r="G146" s="215"/>
      <c r="H146" s="216"/>
      <c r="I146" s="214" t="str">
        <f aca="false">IF(H146&gt;0,TEXT(H146,"(aaa)"),"")</f>
        <v/>
      </c>
    </row>
    <row r="147" s="214" customFormat="true" ht="16.5" hidden="false" customHeight="false" outlineLevel="0" collapsed="false">
      <c r="A147" s="212"/>
      <c r="B147" s="213"/>
      <c r="C147" s="214" t="str">
        <f aca="false">IF(B147&gt;0,TEXT(B147,"(aaa)"),"")</f>
        <v/>
      </c>
      <c r="D147" s="215"/>
      <c r="E147" s="216"/>
      <c r="F147" s="214" t="str">
        <f aca="false">IF(E147&gt;0,TEXT(E147,"(aaa)"),"")</f>
        <v/>
      </c>
      <c r="G147" s="215"/>
      <c r="H147" s="216"/>
      <c r="I147" s="214" t="str">
        <f aca="false">IF(H147&gt;0,TEXT(H147,"(aaa)"),"")</f>
        <v/>
      </c>
    </row>
    <row r="148" s="214" customFormat="true" ht="16.5" hidden="false" customHeight="false" outlineLevel="0" collapsed="false">
      <c r="A148" s="212"/>
      <c r="B148" s="213"/>
      <c r="C148" s="214" t="str">
        <f aca="false">IF(B148&gt;0,TEXT(B148,"(aaa)"),"")</f>
        <v/>
      </c>
      <c r="D148" s="215"/>
      <c r="E148" s="216"/>
      <c r="F148" s="214" t="str">
        <f aca="false">IF(E148&gt;0,TEXT(E148,"(aaa)"),"")</f>
        <v/>
      </c>
      <c r="G148" s="215"/>
      <c r="H148" s="216"/>
      <c r="I148" s="214" t="str">
        <f aca="false">IF(H148&gt;0,TEXT(H148,"(aaa)"),"")</f>
        <v/>
      </c>
    </row>
    <row r="149" s="214" customFormat="true" ht="16.5" hidden="false" customHeight="false" outlineLevel="0" collapsed="false">
      <c r="A149" s="212"/>
      <c r="B149" s="213"/>
      <c r="C149" s="214" t="str">
        <f aca="false">IF(B149&gt;0,TEXT(B149,"(aaa)"),"")</f>
        <v/>
      </c>
      <c r="D149" s="215"/>
      <c r="E149" s="216"/>
      <c r="F149" s="214" t="str">
        <f aca="false">IF(E149&gt;0,TEXT(E149,"(aaa)"),"")</f>
        <v/>
      </c>
      <c r="G149" s="215"/>
      <c r="H149" s="216"/>
      <c r="I149" s="214" t="str">
        <f aca="false">IF(H149&gt;0,TEXT(H149,"(aaa)"),"")</f>
        <v/>
      </c>
    </row>
    <row r="150" s="214" customFormat="true" ht="16.5" hidden="false" customHeight="false" outlineLevel="0" collapsed="false">
      <c r="A150" s="212"/>
      <c r="B150" s="213"/>
      <c r="C150" s="214" t="str">
        <f aca="false">IF(B150&gt;0,TEXT(B150,"(aaa)"),"")</f>
        <v/>
      </c>
      <c r="D150" s="215"/>
      <c r="E150" s="216"/>
      <c r="F150" s="214" t="str">
        <f aca="false">IF(E150&gt;0,TEXT(E150,"(aaa)"),"")</f>
        <v/>
      </c>
      <c r="G150" s="215"/>
      <c r="H150" s="216"/>
      <c r="I150" s="214" t="str">
        <f aca="false">IF(H150&gt;0,TEXT(H150,"(aaa)"),"")</f>
        <v/>
      </c>
    </row>
    <row r="151" s="214" customFormat="true" ht="16.5" hidden="false" customHeight="false" outlineLevel="0" collapsed="false">
      <c r="A151" s="212"/>
      <c r="B151" s="213"/>
      <c r="C151" s="214" t="str">
        <f aca="false">IF(B151&gt;0,TEXT(B151,"(aaa)"),"")</f>
        <v/>
      </c>
      <c r="D151" s="215"/>
      <c r="E151" s="216"/>
      <c r="F151" s="214" t="str">
        <f aca="false">IF(E151&gt;0,TEXT(E151,"(aaa)"),"")</f>
        <v/>
      </c>
      <c r="G151" s="215"/>
      <c r="H151" s="216"/>
      <c r="I151" s="214" t="str">
        <f aca="false">IF(H151&gt;0,TEXT(H151,"(aaa)"),"")</f>
        <v/>
      </c>
    </row>
    <row r="152" s="214" customFormat="true" ht="16.5" hidden="false" customHeight="false" outlineLevel="0" collapsed="false">
      <c r="A152" s="212"/>
      <c r="B152" s="213"/>
      <c r="C152" s="214" t="str">
        <f aca="false">IF(B152&gt;0,TEXT(B152,"(aaa)"),"")</f>
        <v/>
      </c>
      <c r="D152" s="215"/>
      <c r="E152" s="216"/>
      <c r="F152" s="214" t="str">
        <f aca="false">IF(E152&gt;0,TEXT(E152,"(aaa)"),"")</f>
        <v/>
      </c>
      <c r="G152" s="215"/>
      <c r="H152" s="216"/>
      <c r="I152" s="214" t="str">
        <f aca="false">IF(H152&gt;0,TEXT(H152,"(aaa)"),"")</f>
        <v/>
      </c>
    </row>
    <row r="153" s="214" customFormat="true" ht="16.5" hidden="false" customHeight="false" outlineLevel="0" collapsed="false">
      <c r="A153" s="212"/>
      <c r="B153" s="213"/>
      <c r="C153" s="214" t="str">
        <f aca="false">IF(B153&gt;0,TEXT(B153,"(aaa)"),"")</f>
        <v/>
      </c>
      <c r="D153" s="215"/>
      <c r="E153" s="216"/>
      <c r="F153" s="214" t="str">
        <f aca="false">IF(E153&gt;0,TEXT(E153,"(aaa)"),"")</f>
        <v/>
      </c>
      <c r="G153" s="215"/>
      <c r="H153" s="216"/>
      <c r="I153" s="214" t="str">
        <f aca="false">IF(H153&gt;0,TEXT(H153,"(aaa)"),"")</f>
        <v/>
      </c>
    </row>
    <row r="154" s="214" customFormat="true" ht="16.5" hidden="false" customHeight="false" outlineLevel="0" collapsed="false">
      <c r="A154" s="212"/>
      <c r="B154" s="213"/>
      <c r="C154" s="214" t="str">
        <f aca="false">IF(B154&gt;0,TEXT(B154,"(aaa)"),"")</f>
        <v/>
      </c>
      <c r="D154" s="215"/>
      <c r="E154" s="216"/>
      <c r="F154" s="214" t="str">
        <f aca="false">IF(E154&gt;0,TEXT(E154,"(aaa)"),"")</f>
        <v/>
      </c>
      <c r="G154" s="215"/>
      <c r="H154" s="216"/>
      <c r="I154" s="214" t="str">
        <f aca="false">IF(H154&gt;0,TEXT(H154,"(aaa)"),"")</f>
        <v/>
      </c>
    </row>
    <row r="155" s="214" customFormat="true" ht="16.5" hidden="false" customHeight="false" outlineLevel="0" collapsed="false">
      <c r="A155" s="212"/>
      <c r="B155" s="213"/>
      <c r="C155" s="214" t="str">
        <f aca="false">IF(B155&gt;0,TEXT(B155,"(aaa)"),"")</f>
        <v/>
      </c>
      <c r="D155" s="215"/>
      <c r="E155" s="216"/>
      <c r="F155" s="214" t="str">
        <f aca="false">IF(E155&gt;0,TEXT(E155,"(aaa)"),"")</f>
        <v/>
      </c>
      <c r="G155" s="215"/>
      <c r="H155" s="216"/>
      <c r="I155" s="214" t="str">
        <f aca="false">IF(H155&gt;0,TEXT(H155,"(aaa)"),"")</f>
        <v/>
      </c>
    </row>
    <row r="156" s="214" customFormat="true" ht="16.5" hidden="false" customHeight="false" outlineLevel="0" collapsed="false">
      <c r="A156" s="212"/>
      <c r="B156" s="213"/>
      <c r="C156" s="214" t="str">
        <f aca="false">IF(B156&gt;0,TEXT(B156,"(aaa)"),"")</f>
        <v/>
      </c>
      <c r="D156" s="215"/>
      <c r="E156" s="216"/>
      <c r="F156" s="214" t="str">
        <f aca="false">IF(E156&gt;0,TEXT(E156,"(aaa)"),"")</f>
        <v/>
      </c>
      <c r="G156" s="215"/>
      <c r="H156" s="216"/>
      <c r="I156" s="214" t="str">
        <f aca="false">IF(H156&gt;0,TEXT(H156,"(aaa)"),"")</f>
        <v/>
      </c>
    </row>
    <row r="157" s="214" customFormat="true" ht="16.5" hidden="false" customHeight="false" outlineLevel="0" collapsed="false">
      <c r="A157" s="212"/>
      <c r="B157" s="213"/>
      <c r="C157" s="214" t="str">
        <f aca="false">IF(B157&gt;0,TEXT(B157,"(aaa)"),"")</f>
        <v/>
      </c>
      <c r="D157" s="215"/>
      <c r="E157" s="216"/>
      <c r="F157" s="214" t="str">
        <f aca="false">IF(E157&gt;0,TEXT(E157,"(aaa)"),"")</f>
        <v/>
      </c>
      <c r="G157" s="215"/>
      <c r="H157" s="216"/>
      <c r="I157" s="214" t="str">
        <f aca="false">IF(H157&gt;0,TEXT(H157,"(aaa)"),"")</f>
        <v/>
      </c>
    </row>
    <row r="158" s="214" customFormat="true" ht="16.5" hidden="false" customHeight="false" outlineLevel="0" collapsed="false">
      <c r="A158" s="212"/>
      <c r="B158" s="213"/>
      <c r="C158" s="214" t="str">
        <f aca="false">IF(B158&gt;0,TEXT(B158,"(aaa)"),"")</f>
        <v/>
      </c>
      <c r="D158" s="215"/>
      <c r="E158" s="216"/>
      <c r="F158" s="214" t="str">
        <f aca="false">IF(E158&gt;0,TEXT(E158,"(aaa)"),"")</f>
        <v/>
      </c>
      <c r="G158" s="215"/>
      <c r="H158" s="216"/>
      <c r="I158" s="214" t="str">
        <f aca="false">IF(H158&gt;0,TEXT(H158,"(aaa)"),"")</f>
        <v/>
      </c>
    </row>
    <row r="159" s="214" customFormat="true" ht="16.5" hidden="false" customHeight="false" outlineLevel="0" collapsed="false">
      <c r="A159" s="212"/>
      <c r="B159" s="213"/>
      <c r="C159" s="214" t="str">
        <f aca="false">IF(B159&gt;0,TEXT(B159,"(aaa)"),"")</f>
        <v/>
      </c>
      <c r="D159" s="215"/>
      <c r="E159" s="216"/>
      <c r="F159" s="214" t="str">
        <f aca="false">IF(E159&gt;0,TEXT(E159,"(aaa)"),"")</f>
        <v/>
      </c>
      <c r="G159" s="215"/>
      <c r="H159" s="216"/>
      <c r="I159" s="214" t="str">
        <f aca="false">IF(H159&gt;0,TEXT(H159,"(aaa)"),"")</f>
        <v/>
      </c>
    </row>
    <row r="160" s="214" customFormat="true" ht="16.5" hidden="false" customHeight="false" outlineLevel="0" collapsed="false">
      <c r="A160" s="212"/>
      <c r="B160" s="213"/>
      <c r="C160" s="214" t="str">
        <f aca="false">IF(B160&gt;0,TEXT(B160,"(aaa)"),"")</f>
        <v/>
      </c>
      <c r="D160" s="215"/>
      <c r="E160" s="216"/>
      <c r="F160" s="214" t="str">
        <f aca="false">IF(E160&gt;0,TEXT(E160,"(aaa)"),"")</f>
        <v/>
      </c>
      <c r="G160" s="215"/>
      <c r="H160" s="216"/>
      <c r="I160" s="214" t="str">
        <f aca="false">IF(H160&gt;0,TEXT(H160,"(aaa)"),"")</f>
        <v/>
      </c>
    </row>
    <row r="161" s="214" customFormat="true" ht="16.5" hidden="false" customHeight="false" outlineLevel="0" collapsed="false">
      <c r="A161" s="212"/>
      <c r="B161" s="213"/>
      <c r="C161" s="214" t="str">
        <f aca="false">IF(B161&gt;0,TEXT(B161,"(aaa)"),"")</f>
        <v/>
      </c>
      <c r="D161" s="215"/>
      <c r="E161" s="216"/>
      <c r="F161" s="214" t="str">
        <f aca="false">IF(E161&gt;0,TEXT(E161,"(aaa)"),"")</f>
        <v/>
      </c>
      <c r="G161" s="215"/>
      <c r="H161" s="216"/>
      <c r="I161" s="214" t="str">
        <f aca="false">IF(H161&gt;0,TEXT(H161,"(aaa)"),"")</f>
        <v/>
      </c>
    </row>
    <row r="162" s="214" customFormat="true" ht="16.5" hidden="false" customHeight="false" outlineLevel="0" collapsed="false">
      <c r="A162" s="212"/>
      <c r="B162" s="213"/>
      <c r="C162" s="214" t="str">
        <f aca="false">IF(B162&gt;0,TEXT(B162,"(aaa)"),"")</f>
        <v/>
      </c>
      <c r="D162" s="215"/>
      <c r="E162" s="216"/>
      <c r="F162" s="214" t="str">
        <f aca="false">IF(E162&gt;0,TEXT(E162,"(aaa)"),"")</f>
        <v/>
      </c>
      <c r="G162" s="215"/>
      <c r="H162" s="216"/>
      <c r="I162" s="214" t="str">
        <f aca="false">IF(H162&gt;0,TEXT(H162,"(aaa)"),"")</f>
        <v/>
      </c>
    </row>
    <row r="163" s="214" customFormat="true" ht="16.5" hidden="false" customHeight="false" outlineLevel="0" collapsed="false">
      <c r="A163" s="212"/>
      <c r="B163" s="213"/>
      <c r="C163" s="214" t="str">
        <f aca="false">IF(B163&gt;0,TEXT(B163,"(aaa)"),"")</f>
        <v/>
      </c>
      <c r="D163" s="215"/>
      <c r="E163" s="216"/>
      <c r="F163" s="214" t="str">
        <f aca="false">IF(E163&gt;0,TEXT(E163,"(aaa)"),"")</f>
        <v/>
      </c>
      <c r="G163" s="215"/>
      <c r="H163" s="216"/>
      <c r="I163" s="214" t="str">
        <f aca="false">IF(H163&gt;0,TEXT(H163,"(aaa)"),"")</f>
        <v/>
      </c>
    </row>
    <row r="164" s="214" customFormat="true" ht="16.5" hidden="false" customHeight="false" outlineLevel="0" collapsed="false">
      <c r="A164" s="212"/>
      <c r="B164" s="213"/>
      <c r="C164" s="214" t="str">
        <f aca="false">IF(B164&gt;0,TEXT(B164,"(aaa)"),"")</f>
        <v/>
      </c>
      <c r="D164" s="215"/>
      <c r="E164" s="216"/>
      <c r="F164" s="214" t="str">
        <f aca="false">IF(E164&gt;0,TEXT(E164,"(aaa)"),"")</f>
        <v/>
      </c>
      <c r="G164" s="215"/>
      <c r="H164" s="216"/>
      <c r="I164" s="214" t="str">
        <f aca="false">IF(H164&gt;0,TEXT(H164,"(aaa)"),"")</f>
        <v/>
      </c>
    </row>
    <row r="165" s="214" customFormat="true" ht="16.5" hidden="false" customHeight="false" outlineLevel="0" collapsed="false">
      <c r="A165" s="212"/>
      <c r="B165" s="213"/>
      <c r="C165" s="214" t="str">
        <f aca="false">IF(B165&gt;0,TEXT(B165,"(aaa)"),"")</f>
        <v/>
      </c>
      <c r="D165" s="215"/>
      <c r="E165" s="216"/>
      <c r="F165" s="214" t="str">
        <f aca="false">IF(E165&gt;0,TEXT(E165,"(aaa)"),"")</f>
        <v/>
      </c>
      <c r="G165" s="215"/>
      <c r="H165" s="216"/>
      <c r="I165" s="214" t="str">
        <f aca="false">IF(H165&gt;0,TEXT(H165,"(aaa)"),"")</f>
        <v/>
      </c>
    </row>
    <row r="166" s="214" customFormat="true" ht="16.5" hidden="false" customHeight="false" outlineLevel="0" collapsed="false">
      <c r="A166" s="212"/>
      <c r="B166" s="213"/>
      <c r="C166" s="214" t="str">
        <f aca="false">IF(B166&gt;0,TEXT(B166,"(aaa)"),"")</f>
        <v/>
      </c>
      <c r="D166" s="215"/>
      <c r="E166" s="216"/>
      <c r="F166" s="214" t="str">
        <f aca="false">IF(E166&gt;0,TEXT(E166,"(aaa)"),"")</f>
        <v/>
      </c>
      <c r="G166" s="215"/>
      <c r="H166" s="216"/>
      <c r="I166" s="214" t="str">
        <f aca="false">IF(H166&gt;0,TEXT(H166,"(aaa)"),"")</f>
        <v/>
      </c>
    </row>
    <row r="167" s="214" customFormat="true" ht="16.5" hidden="false" customHeight="false" outlineLevel="0" collapsed="false">
      <c r="A167" s="212"/>
      <c r="B167" s="213"/>
      <c r="C167" s="214" t="str">
        <f aca="false">IF(B167&gt;0,TEXT(B167,"(aaa)"),"")</f>
        <v/>
      </c>
      <c r="D167" s="215"/>
      <c r="E167" s="216"/>
      <c r="F167" s="214" t="str">
        <f aca="false">IF(E167&gt;0,TEXT(E167,"(aaa)"),"")</f>
        <v/>
      </c>
      <c r="G167" s="215"/>
      <c r="H167" s="216"/>
      <c r="I167" s="214" t="str">
        <f aca="false">IF(H167&gt;0,TEXT(H167,"(aaa)"),"")</f>
        <v/>
      </c>
    </row>
    <row r="168" s="214" customFormat="true" ht="16.5" hidden="false" customHeight="false" outlineLevel="0" collapsed="false">
      <c r="A168" s="212"/>
      <c r="B168" s="213"/>
      <c r="C168" s="214" t="str">
        <f aca="false">IF(B168&gt;0,TEXT(B168,"(aaa)"),"")</f>
        <v/>
      </c>
      <c r="D168" s="215"/>
      <c r="E168" s="216"/>
      <c r="F168" s="214" t="str">
        <f aca="false">IF(E168&gt;0,TEXT(E168,"(aaa)"),"")</f>
        <v/>
      </c>
      <c r="G168" s="215"/>
      <c r="H168" s="216"/>
      <c r="I168" s="214" t="str">
        <f aca="false">IF(H168&gt;0,TEXT(H168,"(aaa)"),"")</f>
        <v/>
      </c>
    </row>
    <row r="169" s="214" customFormat="true" ht="16.5" hidden="false" customHeight="false" outlineLevel="0" collapsed="false">
      <c r="A169" s="212"/>
      <c r="B169" s="213"/>
      <c r="C169" s="214" t="str">
        <f aca="false">IF(B169&gt;0,TEXT(B169,"(aaa)"),"")</f>
        <v/>
      </c>
      <c r="D169" s="215"/>
      <c r="E169" s="216"/>
      <c r="F169" s="214" t="str">
        <f aca="false">IF(E169&gt;0,TEXT(E169,"(aaa)"),"")</f>
        <v/>
      </c>
      <c r="G169" s="215"/>
      <c r="H169" s="216"/>
      <c r="I169" s="214" t="str">
        <f aca="false">IF(H169&gt;0,TEXT(H169,"(aaa)"),"")</f>
        <v/>
      </c>
    </row>
    <row r="170" s="214" customFormat="true" ht="16.5" hidden="false" customHeight="false" outlineLevel="0" collapsed="false">
      <c r="A170" s="212"/>
      <c r="B170" s="213"/>
      <c r="C170" s="214" t="str">
        <f aca="false">IF(B170&gt;0,TEXT(B170,"(aaa)"),"")</f>
        <v/>
      </c>
      <c r="D170" s="215"/>
      <c r="E170" s="216"/>
      <c r="F170" s="214" t="str">
        <f aca="false">IF(E170&gt;0,TEXT(E170,"(aaa)"),"")</f>
        <v/>
      </c>
      <c r="G170" s="215"/>
      <c r="H170" s="216"/>
      <c r="I170" s="214" t="str">
        <f aca="false">IF(H170&gt;0,TEXT(H170,"(aaa)"),"")</f>
        <v/>
      </c>
    </row>
    <row r="171" s="214" customFormat="true" ht="16.5" hidden="false" customHeight="false" outlineLevel="0" collapsed="false">
      <c r="A171" s="212"/>
      <c r="B171" s="213"/>
      <c r="C171" s="214" t="str">
        <f aca="false">IF(B171&gt;0,TEXT(B171,"(aaa)"),"")</f>
        <v/>
      </c>
      <c r="D171" s="215"/>
      <c r="E171" s="216"/>
      <c r="F171" s="214" t="str">
        <f aca="false">IF(E171&gt;0,TEXT(E171,"(aaa)"),"")</f>
        <v/>
      </c>
      <c r="G171" s="215"/>
      <c r="H171" s="216"/>
      <c r="I171" s="214" t="str">
        <f aca="false">IF(H171&gt;0,TEXT(H171,"(aaa)"),"")</f>
        <v/>
      </c>
    </row>
    <row r="172" s="214" customFormat="true" ht="16.5" hidden="false" customHeight="false" outlineLevel="0" collapsed="false">
      <c r="A172" s="212"/>
      <c r="B172" s="213"/>
      <c r="C172" s="214" t="str">
        <f aca="false">IF(B172&gt;0,TEXT(B172,"(aaa)"),"")</f>
        <v/>
      </c>
      <c r="D172" s="215"/>
      <c r="E172" s="216"/>
      <c r="F172" s="214" t="str">
        <f aca="false">IF(E172&gt;0,TEXT(E172,"(aaa)"),"")</f>
        <v/>
      </c>
      <c r="G172" s="215"/>
      <c r="H172" s="216"/>
      <c r="I172" s="214" t="str">
        <f aca="false">IF(H172&gt;0,TEXT(H172,"(aaa)"),"")</f>
        <v/>
      </c>
    </row>
    <row r="173" s="214" customFormat="true" ht="16.5" hidden="false" customHeight="false" outlineLevel="0" collapsed="false">
      <c r="A173" s="212"/>
      <c r="B173" s="213"/>
      <c r="C173" s="214" t="str">
        <f aca="false">IF(B173&gt;0,TEXT(B173,"(aaa)"),"")</f>
        <v/>
      </c>
      <c r="D173" s="215"/>
      <c r="E173" s="216"/>
      <c r="F173" s="214" t="str">
        <f aca="false">IF(E173&gt;0,TEXT(E173,"(aaa)"),"")</f>
        <v/>
      </c>
      <c r="G173" s="215"/>
      <c r="H173" s="216"/>
      <c r="I173" s="214" t="str">
        <f aca="false">IF(H173&gt;0,TEXT(H173,"(aaa)"),"")</f>
        <v/>
      </c>
    </row>
    <row r="174" s="214" customFormat="true" ht="16.5" hidden="false" customHeight="false" outlineLevel="0" collapsed="false">
      <c r="A174" s="212"/>
      <c r="B174" s="213"/>
      <c r="C174" s="214" t="str">
        <f aca="false">IF(B174&gt;0,TEXT(B174,"(aaa)"),"")</f>
        <v/>
      </c>
      <c r="D174" s="215"/>
      <c r="E174" s="216"/>
      <c r="F174" s="214" t="str">
        <f aca="false">IF(E174&gt;0,TEXT(E174,"(aaa)"),"")</f>
        <v/>
      </c>
      <c r="G174" s="215"/>
      <c r="H174" s="216"/>
      <c r="I174" s="214" t="str">
        <f aca="false">IF(H174&gt;0,TEXT(H174,"(aaa)"),"")</f>
        <v/>
      </c>
    </row>
    <row r="175" s="214" customFormat="true" ht="16.5" hidden="false" customHeight="false" outlineLevel="0" collapsed="false">
      <c r="A175" s="212"/>
      <c r="B175" s="213"/>
      <c r="C175" s="214" t="str">
        <f aca="false">IF(B175&gt;0,TEXT(B175,"(aaa)"),"")</f>
        <v/>
      </c>
      <c r="D175" s="215"/>
      <c r="E175" s="216"/>
      <c r="F175" s="214" t="str">
        <f aca="false">IF(E175&gt;0,TEXT(E175,"(aaa)"),"")</f>
        <v/>
      </c>
      <c r="G175" s="215"/>
      <c r="H175" s="216"/>
      <c r="I175" s="214" t="str">
        <f aca="false">IF(H175&gt;0,TEXT(H175,"(aaa)"),"")</f>
        <v/>
      </c>
    </row>
    <row r="176" s="214" customFormat="true" ht="16.5" hidden="false" customHeight="false" outlineLevel="0" collapsed="false">
      <c r="A176" s="212"/>
      <c r="B176" s="213"/>
      <c r="C176" s="214" t="str">
        <f aca="false">IF(B176&gt;0,TEXT(B176,"(aaa)"),"")</f>
        <v/>
      </c>
      <c r="D176" s="215"/>
      <c r="E176" s="216"/>
      <c r="F176" s="214" t="str">
        <f aca="false">IF(E176&gt;0,TEXT(E176,"(aaa)"),"")</f>
        <v/>
      </c>
      <c r="G176" s="215"/>
      <c r="H176" s="216"/>
      <c r="I176" s="214" t="str">
        <f aca="false">IF(H176&gt;0,TEXT(H176,"(aaa)"),"")</f>
        <v/>
      </c>
    </row>
    <row r="177" s="214" customFormat="true" ht="16.5" hidden="false" customHeight="false" outlineLevel="0" collapsed="false">
      <c r="A177" s="212"/>
      <c r="B177" s="213"/>
      <c r="C177" s="214" t="str">
        <f aca="false">IF(B177&gt;0,TEXT(B177,"(aaa)"),"")</f>
        <v/>
      </c>
      <c r="D177" s="215"/>
      <c r="E177" s="216"/>
      <c r="F177" s="214" t="str">
        <f aca="false">IF(E177&gt;0,TEXT(E177,"(aaa)"),"")</f>
        <v/>
      </c>
      <c r="G177" s="215"/>
      <c r="H177" s="216"/>
      <c r="I177" s="214" t="str">
        <f aca="false">IF(H177&gt;0,TEXT(H177,"(aaa)"),"")</f>
        <v/>
      </c>
    </row>
    <row r="178" s="214" customFormat="true" ht="16.5" hidden="false" customHeight="false" outlineLevel="0" collapsed="false">
      <c r="A178" s="212"/>
      <c r="B178" s="213"/>
      <c r="C178" s="214" t="str">
        <f aca="false">IF(B178&gt;0,TEXT(B178,"(aaa)"),"")</f>
        <v/>
      </c>
      <c r="D178" s="215"/>
      <c r="E178" s="216"/>
      <c r="F178" s="214" t="str">
        <f aca="false">IF(E178&gt;0,TEXT(E178,"(aaa)"),"")</f>
        <v/>
      </c>
      <c r="G178" s="215"/>
      <c r="H178" s="216"/>
      <c r="I178" s="214" t="str">
        <f aca="false">IF(H178&gt;0,TEXT(H178,"(aaa)"),"")</f>
        <v/>
      </c>
    </row>
    <row r="179" s="214" customFormat="true" ht="16.5" hidden="false" customHeight="false" outlineLevel="0" collapsed="false">
      <c r="A179" s="212"/>
      <c r="B179" s="213"/>
      <c r="C179" s="214" t="str">
        <f aca="false">IF(B179&gt;0,TEXT(B179,"(aaa)"),"")</f>
        <v/>
      </c>
      <c r="D179" s="215"/>
      <c r="E179" s="216"/>
      <c r="F179" s="214" t="str">
        <f aca="false">IF(E179&gt;0,TEXT(E179,"(aaa)"),"")</f>
        <v/>
      </c>
      <c r="G179" s="215"/>
      <c r="H179" s="216"/>
      <c r="I179" s="214" t="str">
        <f aca="false">IF(H179&gt;0,TEXT(H179,"(aaa)"),"")</f>
        <v/>
      </c>
    </row>
    <row r="180" s="214" customFormat="true" ht="16.5" hidden="false" customHeight="false" outlineLevel="0" collapsed="false">
      <c r="A180" s="212"/>
      <c r="B180" s="213"/>
      <c r="C180" s="214" t="str">
        <f aca="false">IF(B180&gt;0,TEXT(B180,"(aaa)"),"")</f>
        <v/>
      </c>
      <c r="D180" s="215"/>
      <c r="E180" s="216"/>
      <c r="F180" s="214" t="str">
        <f aca="false">IF(E180&gt;0,TEXT(E180,"(aaa)"),"")</f>
        <v/>
      </c>
      <c r="G180" s="215"/>
      <c r="H180" s="216"/>
      <c r="I180" s="214" t="str">
        <f aca="false">IF(H180&gt;0,TEXT(H180,"(aaa)"),"")</f>
        <v/>
      </c>
    </row>
    <row r="181" s="214" customFormat="true" ht="16.5" hidden="false" customHeight="false" outlineLevel="0" collapsed="false">
      <c r="A181" s="212"/>
      <c r="B181" s="213"/>
      <c r="C181" s="214" t="str">
        <f aca="false">IF(B181&gt;0,TEXT(B181,"(aaa)"),"")</f>
        <v/>
      </c>
      <c r="D181" s="215"/>
      <c r="E181" s="216"/>
      <c r="F181" s="214" t="str">
        <f aca="false">IF(E181&gt;0,TEXT(E181,"(aaa)"),"")</f>
        <v/>
      </c>
      <c r="G181" s="215"/>
      <c r="H181" s="216"/>
      <c r="I181" s="214" t="str">
        <f aca="false">IF(H181&gt;0,TEXT(H181,"(aaa)"),"")</f>
        <v/>
      </c>
    </row>
    <row r="182" s="214" customFormat="true" ht="16.5" hidden="false" customHeight="false" outlineLevel="0" collapsed="false">
      <c r="A182" s="212"/>
      <c r="B182" s="213"/>
      <c r="C182" s="214" t="str">
        <f aca="false">IF(B182&gt;0,TEXT(B182,"(aaa)"),"")</f>
        <v/>
      </c>
      <c r="D182" s="215"/>
      <c r="E182" s="216"/>
      <c r="F182" s="214" t="str">
        <f aca="false">IF(E182&gt;0,TEXT(E182,"(aaa)"),"")</f>
        <v/>
      </c>
      <c r="G182" s="215"/>
      <c r="H182" s="216"/>
      <c r="I182" s="214" t="str">
        <f aca="false">IF(H182&gt;0,TEXT(H182,"(aaa)"),"")</f>
        <v/>
      </c>
    </row>
    <row r="183" s="214" customFormat="true" ht="16.5" hidden="false" customHeight="false" outlineLevel="0" collapsed="false">
      <c r="A183" s="212"/>
      <c r="B183" s="213"/>
      <c r="C183" s="214" t="str">
        <f aca="false">IF(B183&gt;0,TEXT(B183,"(aaa)"),"")</f>
        <v/>
      </c>
      <c r="D183" s="215"/>
      <c r="E183" s="216"/>
      <c r="F183" s="214" t="str">
        <f aca="false">IF(E183&gt;0,TEXT(E183,"(aaa)"),"")</f>
        <v/>
      </c>
      <c r="G183" s="215"/>
      <c r="H183" s="216"/>
      <c r="I183" s="214" t="str">
        <f aca="false">IF(H183&gt;0,TEXT(H183,"(aaa)"),"")</f>
        <v/>
      </c>
    </row>
    <row r="184" s="214" customFormat="true" ht="16.5" hidden="false" customHeight="false" outlineLevel="0" collapsed="false">
      <c r="A184" s="212"/>
      <c r="B184" s="213"/>
      <c r="C184" s="214" t="str">
        <f aca="false">IF(B184&gt;0,TEXT(B184,"(aaa)"),"")</f>
        <v/>
      </c>
      <c r="D184" s="215"/>
      <c r="E184" s="216"/>
      <c r="F184" s="214" t="str">
        <f aca="false">IF(E184&gt;0,TEXT(E184,"(aaa)"),"")</f>
        <v/>
      </c>
      <c r="G184" s="215"/>
      <c r="H184" s="216"/>
      <c r="I184" s="214" t="str">
        <f aca="false">IF(H184&gt;0,TEXT(H184,"(aaa)"),"")</f>
        <v/>
      </c>
    </row>
    <row r="185" s="214" customFormat="true" ht="16.5" hidden="false" customHeight="false" outlineLevel="0" collapsed="false">
      <c r="A185" s="212"/>
      <c r="B185" s="213"/>
      <c r="C185" s="214" t="str">
        <f aca="false">IF(B185&gt;0,TEXT(B185,"(aaa)"),"")</f>
        <v/>
      </c>
      <c r="D185" s="215"/>
      <c r="E185" s="216"/>
      <c r="F185" s="214" t="str">
        <f aca="false">IF(E185&gt;0,TEXT(E185,"(aaa)"),"")</f>
        <v/>
      </c>
      <c r="G185" s="215"/>
      <c r="H185" s="216"/>
      <c r="I185" s="214" t="str">
        <f aca="false">IF(H185&gt;0,TEXT(H185,"(aaa)"),"")</f>
        <v/>
      </c>
    </row>
    <row r="186" s="214" customFormat="true" ht="16.5" hidden="false" customHeight="false" outlineLevel="0" collapsed="false">
      <c r="A186" s="212"/>
      <c r="B186" s="213"/>
      <c r="C186" s="214" t="str">
        <f aca="false">IF(B186&gt;0,TEXT(B186,"(aaa)"),"")</f>
        <v/>
      </c>
      <c r="D186" s="215"/>
      <c r="E186" s="216"/>
      <c r="F186" s="214" t="str">
        <f aca="false">IF(E186&gt;0,TEXT(E186,"(aaa)"),"")</f>
        <v/>
      </c>
      <c r="G186" s="215"/>
      <c r="H186" s="216"/>
      <c r="I186" s="214" t="str">
        <f aca="false">IF(H186&gt;0,TEXT(H186,"(aaa)"),"")</f>
        <v/>
      </c>
    </row>
    <row r="187" s="214" customFormat="true" ht="16.5" hidden="false" customHeight="false" outlineLevel="0" collapsed="false">
      <c r="A187" s="212"/>
      <c r="B187" s="213"/>
      <c r="C187" s="214" t="str">
        <f aca="false">IF(B187&gt;0,TEXT(B187,"(aaa)"),"")</f>
        <v/>
      </c>
      <c r="D187" s="215"/>
      <c r="E187" s="216"/>
      <c r="F187" s="214" t="str">
        <f aca="false">IF(E187&gt;0,TEXT(E187,"(aaa)"),"")</f>
        <v/>
      </c>
      <c r="G187" s="215"/>
      <c r="H187" s="216"/>
      <c r="I187" s="214" t="str">
        <f aca="false">IF(H187&gt;0,TEXT(H187,"(aaa)"),"")</f>
        <v/>
      </c>
    </row>
    <row r="188" s="214" customFormat="true" ht="16.5" hidden="false" customHeight="false" outlineLevel="0" collapsed="false">
      <c r="A188" s="212"/>
      <c r="B188" s="213"/>
      <c r="C188" s="214" t="str">
        <f aca="false">IF(B188&gt;0,TEXT(B188,"(aaa)"),"")</f>
        <v/>
      </c>
      <c r="D188" s="215"/>
      <c r="E188" s="216"/>
      <c r="F188" s="214" t="str">
        <f aca="false">IF(E188&gt;0,TEXT(E188,"(aaa)"),"")</f>
        <v/>
      </c>
      <c r="G188" s="215"/>
      <c r="H188" s="216"/>
      <c r="I188" s="214" t="str">
        <f aca="false">IF(H188&gt;0,TEXT(H188,"(aaa)"),"")</f>
        <v/>
      </c>
    </row>
    <row r="189" s="214" customFormat="true" ht="16.5" hidden="false" customHeight="false" outlineLevel="0" collapsed="false">
      <c r="A189" s="212"/>
      <c r="B189" s="213"/>
      <c r="C189" s="214" t="str">
        <f aca="false">IF(B189&gt;0,TEXT(B189,"(aaa)"),"")</f>
        <v/>
      </c>
      <c r="D189" s="215"/>
      <c r="E189" s="216"/>
      <c r="F189" s="214" t="str">
        <f aca="false">IF(E189&gt;0,TEXT(E189,"(aaa)"),"")</f>
        <v/>
      </c>
      <c r="G189" s="215"/>
      <c r="H189" s="216"/>
      <c r="I189" s="214" t="str">
        <f aca="false">IF(H189&gt;0,TEXT(H189,"(aaa)"),"")</f>
        <v/>
      </c>
    </row>
    <row r="190" s="214" customFormat="true" ht="16.5" hidden="false" customHeight="false" outlineLevel="0" collapsed="false">
      <c r="A190" s="212"/>
      <c r="B190" s="213"/>
      <c r="C190" s="214" t="str">
        <f aca="false">IF(B190&gt;0,TEXT(B190,"(aaa)"),"")</f>
        <v/>
      </c>
      <c r="D190" s="215"/>
      <c r="E190" s="216"/>
      <c r="F190" s="214" t="str">
        <f aca="false">IF(E190&gt;0,TEXT(E190,"(aaa)"),"")</f>
        <v/>
      </c>
      <c r="G190" s="215"/>
      <c r="H190" s="216"/>
      <c r="I190" s="214" t="str">
        <f aca="false">IF(H190&gt;0,TEXT(H190,"(aaa)"),"")</f>
        <v/>
      </c>
    </row>
    <row r="191" s="214" customFormat="true" ht="16.5" hidden="false" customHeight="false" outlineLevel="0" collapsed="false">
      <c r="A191" s="212"/>
      <c r="B191" s="213"/>
      <c r="C191" s="214" t="str">
        <f aca="false">IF(B191&gt;0,TEXT(B191,"(aaa)"),"")</f>
        <v/>
      </c>
      <c r="D191" s="215"/>
      <c r="E191" s="216"/>
      <c r="F191" s="214" t="str">
        <f aca="false">IF(E191&gt;0,TEXT(E191,"(aaa)"),"")</f>
        <v/>
      </c>
      <c r="G191" s="215"/>
      <c r="H191" s="216"/>
      <c r="I191" s="214" t="str">
        <f aca="false">IF(H191&gt;0,TEXT(H191,"(aaa)"),"")</f>
        <v/>
      </c>
    </row>
    <row r="192" s="214" customFormat="true" ht="16.5" hidden="false" customHeight="false" outlineLevel="0" collapsed="false">
      <c r="A192" s="212"/>
      <c r="B192" s="213"/>
      <c r="C192" s="214" t="str">
        <f aca="false">IF(B192&gt;0,TEXT(B192,"(aaa)"),"")</f>
        <v/>
      </c>
      <c r="D192" s="215"/>
      <c r="E192" s="216"/>
      <c r="F192" s="214" t="str">
        <f aca="false">IF(E192&gt;0,TEXT(E192,"(aaa)"),"")</f>
        <v/>
      </c>
      <c r="G192" s="215"/>
      <c r="H192" s="216"/>
      <c r="I192" s="214" t="str">
        <f aca="false">IF(H192&gt;0,TEXT(H192,"(aaa)"),"")</f>
        <v/>
      </c>
    </row>
    <row r="193" s="214" customFormat="true" ht="16.5" hidden="false" customHeight="false" outlineLevel="0" collapsed="false">
      <c r="A193" s="212"/>
      <c r="B193" s="213"/>
      <c r="C193" s="214" t="str">
        <f aca="false">IF(B193&gt;0,TEXT(B193,"(aaa)"),"")</f>
        <v/>
      </c>
      <c r="D193" s="215"/>
      <c r="E193" s="216"/>
      <c r="F193" s="214" t="str">
        <f aca="false">IF(E193&gt;0,TEXT(E193,"(aaa)"),"")</f>
        <v/>
      </c>
      <c r="G193" s="215"/>
      <c r="H193" s="216"/>
      <c r="I193" s="214" t="str">
        <f aca="false">IF(H193&gt;0,TEXT(H193,"(aaa)"),"")</f>
        <v/>
      </c>
    </row>
    <row r="194" s="214" customFormat="true" ht="16.5" hidden="false" customHeight="false" outlineLevel="0" collapsed="false">
      <c r="A194" s="212"/>
      <c r="B194" s="213"/>
      <c r="C194" s="214" t="str">
        <f aca="false">IF(B194&gt;0,TEXT(B194,"(aaa)"),"")</f>
        <v/>
      </c>
      <c r="D194" s="215"/>
      <c r="E194" s="216"/>
      <c r="F194" s="214" t="str">
        <f aca="false">IF(E194&gt;0,TEXT(E194,"(aaa)"),"")</f>
        <v/>
      </c>
      <c r="G194" s="215"/>
      <c r="H194" s="216"/>
      <c r="I194" s="214" t="str">
        <f aca="false">IF(H194&gt;0,TEXT(H194,"(aaa)"),"")</f>
        <v/>
      </c>
    </row>
    <row r="195" s="214" customFormat="true" ht="16.5" hidden="false" customHeight="false" outlineLevel="0" collapsed="false">
      <c r="A195" s="212"/>
      <c r="B195" s="213"/>
      <c r="C195" s="214" t="str">
        <f aca="false">IF(B195&gt;0,TEXT(B195,"(aaa)"),"")</f>
        <v/>
      </c>
      <c r="D195" s="215"/>
      <c r="E195" s="216"/>
      <c r="F195" s="214" t="str">
        <f aca="false">IF(E195&gt;0,TEXT(E195,"(aaa)"),"")</f>
        <v/>
      </c>
      <c r="G195" s="215"/>
      <c r="H195" s="216"/>
      <c r="I195" s="214" t="str">
        <f aca="false">IF(H195&gt;0,TEXT(H195,"(aaa)"),"")</f>
        <v/>
      </c>
    </row>
    <row r="196" s="214" customFormat="true" ht="16.5" hidden="false" customHeight="false" outlineLevel="0" collapsed="false">
      <c r="A196" s="212"/>
      <c r="B196" s="213"/>
      <c r="C196" s="214" t="str">
        <f aca="false">IF(B196&gt;0,TEXT(B196,"(aaa)"),"")</f>
        <v/>
      </c>
      <c r="D196" s="215"/>
      <c r="E196" s="216"/>
      <c r="F196" s="214" t="str">
        <f aca="false">IF(E196&gt;0,TEXT(E196,"(aaa)"),"")</f>
        <v/>
      </c>
      <c r="G196" s="215"/>
      <c r="H196" s="216"/>
      <c r="I196" s="214" t="str">
        <f aca="false">IF(H196&gt;0,TEXT(H196,"(aaa)"),"")</f>
        <v/>
      </c>
    </row>
    <row r="197" s="214" customFormat="true" ht="16.5" hidden="false" customHeight="false" outlineLevel="0" collapsed="false">
      <c r="A197" s="212"/>
      <c r="B197" s="213"/>
      <c r="C197" s="214" t="str">
        <f aca="false">IF(B197&gt;0,TEXT(B197,"(aaa)"),"")</f>
        <v/>
      </c>
      <c r="D197" s="215"/>
      <c r="E197" s="216"/>
      <c r="F197" s="214" t="str">
        <f aca="false">IF(E197&gt;0,TEXT(E197,"(aaa)"),"")</f>
        <v/>
      </c>
      <c r="G197" s="215"/>
      <c r="H197" s="216"/>
      <c r="I197" s="214" t="str">
        <f aca="false">IF(H197&gt;0,TEXT(H197,"(aaa)"),"")</f>
        <v/>
      </c>
    </row>
    <row r="198" s="214" customFormat="true" ht="16.5" hidden="false" customHeight="false" outlineLevel="0" collapsed="false">
      <c r="A198" s="212"/>
      <c r="B198" s="213"/>
      <c r="C198" s="214" t="str">
        <f aca="false">IF(B198&gt;0,TEXT(B198,"(aaa)"),"")</f>
        <v/>
      </c>
      <c r="D198" s="215"/>
      <c r="E198" s="216"/>
      <c r="F198" s="214" t="str">
        <f aca="false">IF(E198&gt;0,TEXT(E198,"(aaa)"),"")</f>
        <v/>
      </c>
      <c r="G198" s="215"/>
      <c r="H198" s="216"/>
      <c r="I198" s="214" t="str">
        <f aca="false">IF(H198&gt;0,TEXT(H198,"(aaa)"),"")</f>
        <v/>
      </c>
    </row>
    <row r="199" s="214" customFormat="true" ht="16.5" hidden="false" customHeight="false" outlineLevel="0" collapsed="false">
      <c r="A199" s="212"/>
      <c r="B199" s="213"/>
      <c r="C199" s="214" t="str">
        <f aca="false">IF(B199&gt;0,TEXT(B199,"(aaa)"),"")</f>
        <v/>
      </c>
      <c r="D199" s="215"/>
      <c r="E199" s="216"/>
      <c r="F199" s="214" t="str">
        <f aca="false">IF(E199&gt;0,TEXT(E199,"(aaa)"),"")</f>
        <v/>
      </c>
      <c r="G199" s="215"/>
      <c r="H199" s="216"/>
      <c r="I199" s="214" t="str">
        <f aca="false">IF(H199&gt;0,TEXT(H199,"(aaa)"),"")</f>
        <v/>
      </c>
    </row>
    <row r="200" s="214" customFormat="true" ht="16.5" hidden="false" customHeight="false" outlineLevel="0" collapsed="false">
      <c r="A200" s="212"/>
      <c r="B200" s="213"/>
      <c r="C200" s="214" t="str">
        <f aca="false">IF(B200&gt;0,TEXT(B200,"(aaa)"),"")</f>
        <v/>
      </c>
      <c r="D200" s="215"/>
      <c r="E200" s="216"/>
      <c r="F200" s="214" t="str">
        <f aca="false">IF(E200&gt;0,TEXT(E200,"(aaa)"),"")</f>
        <v/>
      </c>
      <c r="G200" s="215"/>
      <c r="H200" s="216"/>
      <c r="I200" s="214" t="str">
        <f aca="false">IF(H200&gt;0,TEXT(H200,"(aaa)"),"")</f>
        <v/>
      </c>
    </row>
    <row r="201" s="214" customFormat="true" ht="16.5" hidden="false" customHeight="false" outlineLevel="0" collapsed="false">
      <c r="A201" s="212"/>
      <c r="B201" s="213"/>
      <c r="C201" s="214" t="str">
        <f aca="false">IF(B201&gt;0,TEXT(B201,"(aaa)"),"")</f>
        <v/>
      </c>
      <c r="D201" s="215"/>
      <c r="E201" s="216"/>
      <c r="F201" s="214" t="str">
        <f aca="false">IF(E201&gt;0,TEXT(E201,"(aaa)"),"")</f>
        <v/>
      </c>
      <c r="G201" s="215"/>
      <c r="H201" s="216"/>
      <c r="I201" s="214" t="str">
        <f aca="false">IF(H201&gt;0,TEXT(H201,"(aaa)"),"")</f>
        <v/>
      </c>
    </row>
    <row r="202" s="214" customFormat="true" ht="16.5" hidden="false" customHeight="false" outlineLevel="0" collapsed="false">
      <c r="A202" s="212"/>
      <c r="B202" s="213"/>
      <c r="C202" s="214" t="str">
        <f aca="false">IF(B202&gt;0,TEXT(B202,"(aaa)"),"")</f>
        <v/>
      </c>
      <c r="D202" s="215"/>
      <c r="E202" s="216"/>
      <c r="F202" s="214" t="str">
        <f aca="false">IF(E202&gt;0,TEXT(E202,"(aaa)"),"")</f>
        <v/>
      </c>
      <c r="G202" s="215"/>
      <c r="H202" s="216"/>
      <c r="I202" s="214" t="str">
        <f aca="false">IF(H202&gt;0,TEXT(H202,"(aaa)"),"")</f>
        <v/>
      </c>
    </row>
    <row r="203" s="214" customFormat="true" ht="16.5" hidden="false" customHeight="false" outlineLevel="0" collapsed="false">
      <c r="A203" s="212"/>
      <c r="B203" s="213"/>
      <c r="C203" s="214" t="str">
        <f aca="false">IF(B203&gt;0,TEXT(B203,"(aaa)"),"")</f>
        <v/>
      </c>
      <c r="D203" s="215"/>
      <c r="E203" s="216"/>
      <c r="F203" s="214" t="str">
        <f aca="false">IF(E203&gt;0,TEXT(E203,"(aaa)"),"")</f>
        <v/>
      </c>
      <c r="G203" s="215"/>
      <c r="H203" s="216"/>
      <c r="I203" s="214" t="str">
        <f aca="false">IF(H203&gt;0,TEXT(H203,"(aaa)"),"")</f>
        <v/>
      </c>
    </row>
    <row r="204" s="214" customFormat="true" ht="16.5" hidden="false" customHeight="false" outlineLevel="0" collapsed="false">
      <c r="A204" s="212"/>
      <c r="B204" s="213"/>
      <c r="C204" s="214" t="str">
        <f aca="false">IF(B204&gt;0,TEXT(B204,"(aaa)"),"")</f>
        <v/>
      </c>
      <c r="D204" s="215"/>
      <c r="E204" s="216"/>
      <c r="F204" s="214" t="str">
        <f aca="false">IF(E204&gt;0,TEXT(E204,"(aaa)"),"")</f>
        <v/>
      </c>
      <c r="G204" s="215"/>
      <c r="H204" s="216"/>
      <c r="I204" s="214" t="str">
        <f aca="false">IF(H204&gt;0,TEXT(H204,"(aaa)"),"")</f>
        <v/>
      </c>
    </row>
    <row r="205" s="214" customFormat="true" ht="16.5" hidden="false" customHeight="false" outlineLevel="0" collapsed="false">
      <c r="A205" s="212"/>
      <c r="B205" s="213"/>
      <c r="C205" s="214" t="str">
        <f aca="false">IF(B205&gt;0,TEXT(B205,"(aaa)"),"")</f>
        <v/>
      </c>
      <c r="D205" s="215"/>
      <c r="E205" s="216"/>
      <c r="F205" s="214" t="str">
        <f aca="false">IF(E205&gt;0,TEXT(E205,"(aaa)"),"")</f>
        <v/>
      </c>
      <c r="G205" s="215"/>
      <c r="H205" s="216"/>
      <c r="I205" s="214" t="str">
        <f aca="false">IF(H205&gt;0,TEXT(H205,"(aaa)"),"")</f>
        <v/>
      </c>
    </row>
    <row r="206" s="214" customFormat="true" ht="16.5" hidden="false" customHeight="false" outlineLevel="0" collapsed="false">
      <c r="A206" s="212"/>
      <c r="B206" s="213"/>
      <c r="C206" s="214" t="str">
        <f aca="false">IF(B206&gt;0,TEXT(B206,"(aaa)"),"")</f>
        <v/>
      </c>
      <c r="D206" s="215"/>
      <c r="E206" s="216"/>
      <c r="F206" s="214" t="str">
        <f aca="false">IF(E206&gt;0,TEXT(E206,"(aaa)"),"")</f>
        <v/>
      </c>
      <c r="G206" s="215"/>
      <c r="H206" s="216"/>
      <c r="I206" s="214" t="str">
        <f aca="false">IF(H206&gt;0,TEXT(H206,"(aaa)"),"")</f>
        <v/>
      </c>
    </row>
    <row r="207" s="214" customFormat="true" ht="16.5" hidden="false" customHeight="false" outlineLevel="0" collapsed="false">
      <c r="A207" s="212"/>
      <c r="B207" s="213"/>
      <c r="C207" s="214" t="str">
        <f aca="false">IF(B207&gt;0,TEXT(B207,"(aaa)"),"")</f>
        <v/>
      </c>
      <c r="D207" s="215"/>
      <c r="E207" s="216"/>
      <c r="F207" s="214" t="str">
        <f aca="false">IF(E207&gt;0,TEXT(E207,"(aaa)"),"")</f>
        <v/>
      </c>
      <c r="G207" s="215"/>
      <c r="H207" s="216"/>
      <c r="I207" s="214" t="str">
        <f aca="false">IF(H207&gt;0,TEXT(H207,"(aaa)"),"")</f>
        <v/>
      </c>
    </row>
    <row r="208" s="214" customFormat="true" ht="16.5" hidden="false" customHeight="false" outlineLevel="0" collapsed="false">
      <c r="A208" s="212"/>
      <c r="B208" s="213"/>
      <c r="C208" s="214" t="str">
        <f aca="false">IF(B208&gt;0,TEXT(B208,"(aaa)"),"")</f>
        <v/>
      </c>
      <c r="D208" s="215"/>
      <c r="E208" s="216"/>
      <c r="F208" s="214" t="str">
        <f aca="false">IF(E208&gt;0,TEXT(E208,"(aaa)"),"")</f>
        <v/>
      </c>
      <c r="G208" s="215"/>
      <c r="H208" s="216"/>
      <c r="I208" s="214" t="str">
        <f aca="false">IF(H208&gt;0,TEXT(H208,"(aaa)"),"")</f>
        <v/>
      </c>
    </row>
    <row r="209" s="214" customFormat="true" ht="16.5" hidden="false" customHeight="false" outlineLevel="0" collapsed="false">
      <c r="A209" s="212"/>
      <c r="B209" s="213"/>
      <c r="C209" s="214" t="str">
        <f aca="false">IF(B209&gt;0,TEXT(B209,"(aaa)"),"")</f>
        <v/>
      </c>
      <c r="D209" s="215"/>
      <c r="E209" s="216"/>
      <c r="F209" s="214" t="str">
        <f aca="false">IF(E209&gt;0,TEXT(E209,"(aaa)"),"")</f>
        <v/>
      </c>
      <c r="G209" s="215"/>
      <c r="H209" s="216"/>
      <c r="I209" s="214" t="str">
        <f aca="false">IF(H209&gt;0,TEXT(H209,"(aaa)"),"")</f>
        <v/>
      </c>
    </row>
    <row r="210" s="214" customFormat="true" ht="16.5" hidden="false" customHeight="false" outlineLevel="0" collapsed="false">
      <c r="A210" s="212"/>
      <c r="B210" s="213"/>
      <c r="C210" s="214" t="str">
        <f aca="false">IF(B210&gt;0,TEXT(B210,"(aaa)"),"")</f>
        <v/>
      </c>
      <c r="D210" s="215"/>
      <c r="E210" s="216"/>
      <c r="F210" s="214" t="str">
        <f aca="false">IF(E210&gt;0,TEXT(E210,"(aaa)"),"")</f>
        <v/>
      </c>
      <c r="G210" s="215"/>
      <c r="H210" s="216"/>
      <c r="I210" s="214" t="str">
        <f aca="false">IF(H210&gt;0,TEXT(H210,"(aaa)"),"")</f>
        <v/>
      </c>
    </row>
    <row r="211" s="214" customFormat="true" ht="16.5" hidden="false" customHeight="false" outlineLevel="0" collapsed="false">
      <c r="A211" s="212"/>
      <c r="B211" s="213"/>
      <c r="C211" s="214" t="str">
        <f aca="false">IF(B211&gt;0,TEXT(B211,"(aaa)"),"")</f>
        <v/>
      </c>
      <c r="D211" s="215"/>
      <c r="E211" s="216"/>
      <c r="F211" s="214" t="str">
        <f aca="false">IF(E211&gt;0,TEXT(E211,"(aaa)"),"")</f>
        <v/>
      </c>
      <c r="G211" s="215"/>
      <c r="H211" s="216"/>
      <c r="I211" s="214" t="str">
        <f aca="false">IF(H211&gt;0,TEXT(H211,"(aaa)"),"")</f>
        <v/>
      </c>
    </row>
    <row r="212" s="214" customFormat="true" ht="16.5" hidden="false" customHeight="false" outlineLevel="0" collapsed="false">
      <c r="A212" s="212"/>
      <c r="B212" s="213"/>
      <c r="C212" s="214" t="str">
        <f aca="false">IF(B212&gt;0,TEXT(B212,"(aaa)"),"")</f>
        <v/>
      </c>
      <c r="D212" s="215"/>
      <c r="E212" s="216"/>
      <c r="F212" s="214" t="str">
        <f aca="false">IF(E212&gt;0,TEXT(E212,"(aaa)"),"")</f>
        <v/>
      </c>
      <c r="G212" s="215"/>
      <c r="H212" s="216"/>
      <c r="I212" s="214" t="str">
        <f aca="false">IF(H212&gt;0,TEXT(H212,"(aaa)"),"")</f>
        <v/>
      </c>
    </row>
    <row r="213" s="214" customFormat="true" ht="16.5" hidden="false" customHeight="false" outlineLevel="0" collapsed="false">
      <c r="A213" s="212"/>
      <c r="B213" s="213"/>
      <c r="C213" s="214" t="str">
        <f aca="false">IF(B213&gt;0,TEXT(B213,"(aaa)"),"")</f>
        <v/>
      </c>
      <c r="D213" s="215"/>
      <c r="E213" s="216"/>
      <c r="F213" s="214" t="str">
        <f aca="false">IF(E213&gt;0,TEXT(E213,"(aaa)"),"")</f>
        <v/>
      </c>
      <c r="G213" s="215"/>
      <c r="H213" s="216"/>
      <c r="I213" s="214" t="str">
        <f aca="false">IF(H213&gt;0,TEXT(H213,"(aaa)"),"")</f>
        <v/>
      </c>
    </row>
    <row r="214" s="214" customFormat="true" ht="16.5" hidden="false" customHeight="false" outlineLevel="0" collapsed="false">
      <c r="A214" s="212"/>
      <c r="B214" s="213"/>
      <c r="C214" s="214" t="str">
        <f aca="false">IF(B214&gt;0,TEXT(B214,"(aaa)"),"")</f>
        <v/>
      </c>
      <c r="D214" s="215"/>
      <c r="E214" s="216"/>
      <c r="F214" s="214" t="str">
        <f aca="false">IF(E214&gt;0,TEXT(E214,"(aaa)"),"")</f>
        <v/>
      </c>
      <c r="G214" s="215"/>
      <c r="H214" s="216"/>
      <c r="I214" s="214" t="str">
        <f aca="false">IF(H214&gt;0,TEXT(H214,"(aaa)"),"")</f>
        <v/>
      </c>
    </row>
    <row r="215" s="214" customFormat="true" ht="16.5" hidden="false" customHeight="false" outlineLevel="0" collapsed="false">
      <c r="A215" s="212"/>
      <c r="B215" s="213"/>
      <c r="C215" s="214" t="str">
        <f aca="false">IF(B215&gt;0,TEXT(B215,"(aaa)"),"")</f>
        <v/>
      </c>
      <c r="D215" s="215"/>
      <c r="E215" s="216"/>
      <c r="F215" s="214" t="str">
        <f aca="false">IF(E215&gt;0,TEXT(E215,"(aaa)"),"")</f>
        <v/>
      </c>
      <c r="G215" s="215"/>
      <c r="H215" s="216"/>
      <c r="I215" s="214" t="str">
        <f aca="false">IF(H215&gt;0,TEXT(H215,"(aaa)"),"")</f>
        <v/>
      </c>
    </row>
    <row r="216" s="214" customFormat="true" ht="16.5" hidden="false" customHeight="false" outlineLevel="0" collapsed="false">
      <c r="A216" s="212"/>
      <c r="B216" s="213"/>
      <c r="C216" s="214" t="str">
        <f aca="false">IF(B216&gt;0,TEXT(B216,"(aaa)"),"")</f>
        <v/>
      </c>
      <c r="D216" s="215"/>
      <c r="E216" s="216"/>
      <c r="F216" s="214" t="str">
        <f aca="false">IF(E216&gt;0,TEXT(E216,"(aaa)"),"")</f>
        <v/>
      </c>
      <c r="G216" s="215"/>
      <c r="H216" s="216"/>
      <c r="I216" s="214" t="str">
        <f aca="false">IF(H216&gt;0,TEXT(H216,"(aaa)"),"")</f>
        <v/>
      </c>
    </row>
    <row r="217" s="214" customFormat="true" ht="16.5" hidden="false" customHeight="false" outlineLevel="0" collapsed="false">
      <c r="A217" s="212"/>
      <c r="B217" s="213"/>
      <c r="C217" s="214" t="str">
        <f aca="false">IF(B217&gt;0,TEXT(B217,"(aaa)"),"")</f>
        <v/>
      </c>
      <c r="D217" s="215"/>
      <c r="E217" s="216"/>
      <c r="F217" s="214" t="str">
        <f aca="false">IF(E217&gt;0,TEXT(E217,"(aaa)"),"")</f>
        <v/>
      </c>
      <c r="G217" s="215"/>
      <c r="H217" s="216"/>
      <c r="I217" s="214" t="str">
        <f aca="false">IF(H217&gt;0,TEXT(H217,"(aaa)"),"")</f>
        <v/>
      </c>
    </row>
    <row r="218" s="214" customFormat="true" ht="16.5" hidden="false" customHeight="false" outlineLevel="0" collapsed="false">
      <c r="A218" s="212"/>
      <c r="B218" s="213"/>
      <c r="C218" s="214" t="str">
        <f aca="false">IF(B218&gt;0,TEXT(B218,"(aaa)"),"")</f>
        <v/>
      </c>
      <c r="D218" s="215"/>
      <c r="E218" s="216"/>
      <c r="F218" s="214" t="str">
        <f aca="false">IF(E218&gt;0,TEXT(E218,"(aaa)"),"")</f>
        <v/>
      </c>
      <c r="G218" s="215"/>
      <c r="H218" s="216"/>
      <c r="I218" s="214" t="str">
        <f aca="false">IF(H218&gt;0,TEXT(H218,"(aaa)"),"")</f>
        <v/>
      </c>
    </row>
    <row r="219" s="214" customFormat="true" ht="16.5" hidden="false" customHeight="false" outlineLevel="0" collapsed="false">
      <c r="A219" s="212"/>
      <c r="B219" s="213"/>
      <c r="C219" s="214" t="str">
        <f aca="false">IF(B219&gt;0,TEXT(B219,"(aaa)"),"")</f>
        <v/>
      </c>
      <c r="D219" s="215"/>
      <c r="E219" s="216"/>
      <c r="F219" s="214" t="str">
        <f aca="false">IF(E219&gt;0,TEXT(E219,"(aaa)"),"")</f>
        <v/>
      </c>
      <c r="G219" s="215"/>
      <c r="H219" s="216"/>
      <c r="I219" s="214" t="str">
        <f aca="false">IF(H219&gt;0,TEXT(H219,"(aaa)"),"")</f>
        <v/>
      </c>
    </row>
    <row r="220" s="214" customFormat="true" ht="16.5" hidden="false" customHeight="false" outlineLevel="0" collapsed="false">
      <c r="A220" s="212"/>
      <c r="B220" s="213"/>
      <c r="C220" s="214" t="str">
        <f aca="false">IF(B220&gt;0,TEXT(B220,"(aaa)"),"")</f>
        <v/>
      </c>
      <c r="D220" s="215"/>
      <c r="E220" s="216"/>
      <c r="F220" s="214" t="str">
        <f aca="false">IF(E220&gt;0,TEXT(E220,"(aaa)"),"")</f>
        <v/>
      </c>
      <c r="G220" s="215"/>
      <c r="H220" s="216"/>
      <c r="I220" s="214" t="str">
        <f aca="false">IF(H220&gt;0,TEXT(H220,"(aaa)"),"")</f>
        <v/>
      </c>
    </row>
    <row r="221" s="214" customFormat="true" ht="16.5" hidden="false" customHeight="false" outlineLevel="0" collapsed="false">
      <c r="A221" s="212"/>
      <c r="B221" s="213"/>
      <c r="C221" s="214" t="str">
        <f aca="false">IF(B221&gt;0,TEXT(B221,"(aaa)"),"")</f>
        <v/>
      </c>
      <c r="D221" s="215"/>
      <c r="E221" s="216"/>
      <c r="F221" s="214" t="str">
        <f aca="false">IF(E221&gt;0,TEXT(E221,"(aaa)"),"")</f>
        <v/>
      </c>
      <c r="G221" s="215"/>
      <c r="H221" s="216"/>
      <c r="I221" s="214" t="str">
        <f aca="false">IF(H221&gt;0,TEXT(H221,"(aaa)"),"")</f>
        <v/>
      </c>
    </row>
    <row r="222" s="214" customFormat="true" ht="16.5" hidden="false" customHeight="false" outlineLevel="0" collapsed="false">
      <c r="A222" s="212"/>
      <c r="B222" s="213"/>
      <c r="C222" s="214" t="str">
        <f aca="false">IF(B222&gt;0,TEXT(B222,"(aaa)"),"")</f>
        <v/>
      </c>
      <c r="D222" s="215"/>
      <c r="E222" s="216"/>
      <c r="F222" s="214" t="str">
        <f aca="false">IF(E222&gt;0,TEXT(E222,"(aaa)"),"")</f>
        <v/>
      </c>
      <c r="G222" s="215"/>
      <c r="H222" s="216"/>
      <c r="I222" s="214" t="str">
        <f aca="false">IF(H222&gt;0,TEXT(H222,"(aaa)"),"")</f>
        <v/>
      </c>
    </row>
    <row r="223" s="214" customFormat="true" ht="16.5" hidden="false" customHeight="false" outlineLevel="0" collapsed="false">
      <c r="A223" s="212"/>
      <c r="B223" s="213"/>
      <c r="C223" s="214" t="str">
        <f aca="false">IF(B223&gt;0,TEXT(B223,"(aaa)"),"")</f>
        <v/>
      </c>
      <c r="D223" s="215"/>
      <c r="E223" s="216"/>
      <c r="F223" s="214" t="str">
        <f aca="false">IF(E223&gt;0,TEXT(E223,"(aaa)"),"")</f>
        <v/>
      </c>
      <c r="G223" s="215"/>
      <c r="H223" s="216"/>
      <c r="I223" s="214" t="str">
        <f aca="false">IF(H223&gt;0,TEXT(H223,"(aaa)"),"")</f>
        <v/>
      </c>
    </row>
    <row r="224" s="214" customFormat="true" ht="16.5" hidden="false" customHeight="false" outlineLevel="0" collapsed="false">
      <c r="A224" s="212"/>
      <c r="B224" s="213"/>
      <c r="C224" s="214" t="str">
        <f aca="false">IF(B224&gt;0,TEXT(B224,"(aaa)"),"")</f>
        <v/>
      </c>
      <c r="D224" s="215"/>
      <c r="E224" s="216"/>
      <c r="F224" s="214" t="str">
        <f aca="false">IF(E224&gt;0,TEXT(E224,"(aaa)"),"")</f>
        <v/>
      </c>
      <c r="G224" s="215"/>
      <c r="H224" s="216"/>
      <c r="I224" s="214" t="str">
        <f aca="false">IF(H224&gt;0,TEXT(H224,"(aaa)"),"")</f>
        <v/>
      </c>
    </row>
    <row r="225" s="214" customFormat="true" ht="16.5" hidden="false" customHeight="false" outlineLevel="0" collapsed="false">
      <c r="A225" s="212"/>
      <c r="B225" s="213"/>
      <c r="C225" s="214" t="str">
        <f aca="false">IF(B225&gt;0,TEXT(B225,"(aaa)"),"")</f>
        <v/>
      </c>
      <c r="D225" s="215"/>
      <c r="E225" s="216"/>
      <c r="F225" s="214" t="str">
        <f aca="false">IF(E225&gt;0,TEXT(E225,"(aaa)"),"")</f>
        <v/>
      </c>
      <c r="G225" s="215"/>
      <c r="H225" s="216"/>
      <c r="I225" s="214" t="str">
        <f aca="false">IF(H225&gt;0,TEXT(H225,"(aaa)"),"")</f>
        <v/>
      </c>
    </row>
    <row r="226" s="214" customFormat="true" ht="16.5" hidden="false" customHeight="false" outlineLevel="0" collapsed="false">
      <c r="A226" s="212"/>
      <c r="B226" s="213"/>
      <c r="C226" s="214" t="str">
        <f aca="false">IF(B226&gt;0,TEXT(B226,"(aaa)"),"")</f>
        <v/>
      </c>
      <c r="D226" s="215"/>
      <c r="E226" s="216"/>
      <c r="F226" s="214" t="str">
        <f aca="false">IF(E226&gt;0,TEXT(E226,"(aaa)"),"")</f>
        <v/>
      </c>
      <c r="G226" s="215"/>
      <c r="H226" s="216"/>
      <c r="I226" s="214" t="str">
        <f aca="false">IF(H226&gt;0,TEXT(H226,"(aaa)"),"")</f>
        <v/>
      </c>
    </row>
    <row r="227" s="214" customFormat="true" ht="16.5" hidden="false" customHeight="false" outlineLevel="0" collapsed="false">
      <c r="A227" s="212"/>
      <c r="B227" s="213"/>
      <c r="C227" s="214" t="str">
        <f aca="false">IF(B227&gt;0,TEXT(B227,"(aaa)"),"")</f>
        <v/>
      </c>
      <c r="D227" s="215"/>
      <c r="E227" s="216"/>
      <c r="F227" s="214" t="str">
        <f aca="false">IF(E227&gt;0,TEXT(E227,"(aaa)"),"")</f>
        <v/>
      </c>
      <c r="G227" s="215"/>
      <c r="H227" s="216"/>
      <c r="I227" s="214" t="str">
        <f aca="false">IF(H227&gt;0,TEXT(H227,"(aaa)"),"")</f>
        <v/>
      </c>
    </row>
    <row r="228" s="214" customFormat="true" ht="16.5" hidden="false" customHeight="false" outlineLevel="0" collapsed="false">
      <c r="A228" s="212"/>
      <c r="B228" s="213"/>
      <c r="C228" s="214" t="str">
        <f aca="false">IF(B228&gt;0,TEXT(B228,"(aaa)"),"")</f>
        <v/>
      </c>
      <c r="D228" s="215"/>
      <c r="E228" s="216"/>
      <c r="F228" s="214" t="str">
        <f aca="false">IF(E228&gt;0,TEXT(E228,"(aaa)"),"")</f>
        <v/>
      </c>
      <c r="G228" s="215"/>
      <c r="H228" s="216"/>
      <c r="I228" s="214" t="str">
        <f aca="false">IF(H228&gt;0,TEXT(H228,"(aaa)"),"")</f>
        <v/>
      </c>
    </row>
    <row r="229" s="214" customFormat="true" ht="16.5" hidden="false" customHeight="false" outlineLevel="0" collapsed="false">
      <c r="A229" s="212"/>
      <c r="B229" s="213"/>
      <c r="C229" s="214" t="str">
        <f aca="false">IF(B229&gt;0,TEXT(B229,"(aaa)"),"")</f>
        <v/>
      </c>
      <c r="D229" s="215"/>
      <c r="E229" s="216"/>
      <c r="F229" s="214" t="str">
        <f aca="false">IF(E229&gt;0,TEXT(E229,"(aaa)"),"")</f>
        <v/>
      </c>
      <c r="G229" s="215"/>
      <c r="H229" s="216"/>
      <c r="I229" s="214" t="str">
        <f aca="false">IF(H229&gt;0,TEXT(H229,"(aaa)"),"")</f>
        <v/>
      </c>
    </row>
    <row r="230" s="214" customFormat="true" ht="16.5" hidden="false" customHeight="false" outlineLevel="0" collapsed="false">
      <c r="A230" s="212"/>
      <c r="B230" s="213"/>
      <c r="C230" s="214" t="str">
        <f aca="false">IF(B230&gt;0,TEXT(B230,"(aaa)"),"")</f>
        <v/>
      </c>
      <c r="D230" s="215"/>
      <c r="E230" s="216"/>
      <c r="F230" s="214" t="str">
        <f aca="false">IF(E230&gt;0,TEXT(E230,"(aaa)"),"")</f>
        <v/>
      </c>
      <c r="G230" s="215"/>
      <c r="H230" s="216"/>
      <c r="I230" s="214" t="str">
        <f aca="false">IF(H230&gt;0,TEXT(H230,"(aaa)"),"")</f>
        <v/>
      </c>
    </row>
    <row r="231" s="214" customFormat="true" ht="16.5" hidden="false" customHeight="false" outlineLevel="0" collapsed="false">
      <c r="A231" s="212"/>
      <c r="B231" s="213"/>
      <c r="C231" s="214" t="str">
        <f aca="false">IF(B231&gt;0,TEXT(B231,"(aaa)"),"")</f>
        <v/>
      </c>
      <c r="D231" s="215"/>
      <c r="E231" s="216"/>
      <c r="F231" s="214" t="str">
        <f aca="false">IF(E231&gt;0,TEXT(E231,"(aaa)"),"")</f>
        <v/>
      </c>
      <c r="G231" s="215"/>
      <c r="H231" s="216"/>
      <c r="I231" s="214" t="str">
        <f aca="false">IF(H231&gt;0,TEXT(H231,"(aaa)"),"")</f>
        <v/>
      </c>
    </row>
    <row r="232" s="214" customFormat="true" ht="16.5" hidden="false" customHeight="false" outlineLevel="0" collapsed="false">
      <c r="A232" s="212"/>
      <c r="B232" s="213"/>
      <c r="C232" s="214" t="str">
        <f aca="false">IF(B232&gt;0,TEXT(B232,"(aaa)"),"")</f>
        <v/>
      </c>
      <c r="D232" s="215"/>
      <c r="E232" s="216"/>
      <c r="F232" s="214" t="str">
        <f aca="false">IF(E232&gt;0,TEXT(E232,"(aaa)"),"")</f>
        <v/>
      </c>
      <c r="G232" s="215"/>
      <c r="H232" s="216"/>
      <c r="I232" s="214" t="str">
        <f aca="false">IF(H232&gt;0,TEXT(H232,"(aaa)"),"")</f>
        <v/>
      </c>
    </row>
    <row r="233" s="214" customFormat="true" ht="16.5" hidden="false" customHeight="false" outlineLevel="0" collapsed="false">
      <c r="A233" s="212"/>
      <c r="B233" s="213"/>
      <c r="C233" s="214" t="str">
        <f aca="false">IF(B233&gt;0,TEXT(B233,"(aaa)"),"")</f>
        <v/>
      </c>
      <c r="D233" s="215"/>
      <c r="E233" s="216"/>
      <c r="F233" s="214" t="str">
        <f aca="false">IF(E233&gt;0,TEXT(E233,"(aaa)"),"")</f>
        <v/>
      </c>
      <c r="G233" s="215"/>
      <c r="H233" s="216"/>
      <c r="I233" s="214" t="str">
        <f aca="false">IF(H233&gt;0,TEXT(H233,"(aaa)"),"")</f>
        <v/>
      </c>
    </row>
    <row r="234" s="214" customFormat="true" ht="16.5" hidden="false" customHeight="false" outlineLevel="0" collapsed="false">
      <c r="A234" s="212"/>
      <c r="B234" s="213"/>
      <c r="C234" s="214" t="str">
        <f aca="false">IF(B234&gt;0,TEXT(B234,"(aaa)"),"")</f>
        <v/>
      </c>
      <c r="D234" s="215"/>
      <c r="E234" s="216"/>
      <c r="F234" s="214" t="str">
        <f aca="false">IF(E234&gt;0,TEXT(E234,"(aaa)"),"")</f>
        <v/>
      </c>
      <c r="G234" s="215"/>
      <c r="H234" s="216"/>
      <c r="I234" s="214" t="str">
        <f aca="false">IF(H234&gt;0,TEXT(H234,"(aaa)"),"")</f>
        <v/>
      </c>
    </row>
    <row r="235" s="214" customFormat="true" ht="16.5" hidden="false" customHeight="false" outlineLevel="0" collapsed="false">
      <c r="A235" s="212"/>
      <c r="B235" s="213"/>
      <c r="C235" s="214" t="str">
        <f aca="false">IF(B235&gt;0,TEXT(B235,"(aaa)"),"")</f>
        <v/>
      </c>
      <c r="D235" s="215"/>
      <c r="E235" s="216"/>
      <c r="F235" s="214" t="str">
        <f aca="false">IF(E235&gt;0,TEXT(E235,"(aaa)"),"")</f>
        <v/>
      </c>
      <c r="G235" s="215"/>
      <c r="H235" s="216"/>
      <c r="I235" s="214" t="str">
        <f aca="false">IF(H235&gt;0,TEXT(H235,"(aaa)"),"")</f>
        <v/>
      </c>
    </row>
    <row r="236" s="214" customFormat="true" ht="16.5" hidden="false" customHeight="false" outlineLevel="0" collapsed="false">
      <c r="A236" s="212"/>
      <c r="B236" s="213"/>
      <c r="C236" s="214" t="str">
        <f aca="false">IF(B236&gt;0,TEXT(B236,"(aaa)"),"")</f>
        <v/>
      </c>
      <c r="D236" s="215"/>
      <c r="E236" s="216"/>
      <c r="F236" s="214" t="str">
        <f aca="false">IF(E236&gt;0,TEXT(E236,"(aaa)"),"")</f>
        <v/>
      </c>
      <c r="G236" s="215"/>
      <c r="H236" s="216"/>
      <c r="I236" s="214" t="str">
        <f aca="false">IF(H236&gt;0,TEXT(H236,"(aaa)"),"")</f>
        <v/>
      </c>
    </row>
    <row r="237" s="214" customFormat="true" ht="16.5" hidden="false" customHeight="false" outlineLevel="0" collapsed="false">
      <c r="A237" s="212"/>
      <c r="B237" s="213"/>
      <c r="C237" s="214" t="str">
        <f aca="false">IF(B237&gt;0,TEXT(B237,"(aaa)"),"")</f>
        <v/>
      </c>
      <c r="D237" s="215"/>
      <c r="E237" s="216"/>
      <c r="F237" s="214" t="str">
        <f aca="false">IF(E237&gt;0,TEXT(E237,"(aaa)"),"")</f>
        <v/>
      </c>
      <c r="G237" s="215"/>
      <c r="H237" s="216"/>
      <c r="I237" s="214" t="str">
        <f aca="false">IF(H237&gt;0,TEXT(H237,"(aaa)"),"")</f>
        <v/>
      </c>
    </row>
    <row r="238" s="214" customFormat="true" ht="16.5" hidden="false" customHeight="false" outlineLevel="0" collapsed="false">
      <c r="A238" s="212"/>
      <c r="B238" s="213"/>
      <c r="C238" s="214" t="str">
        <f aca="false">IF(B238&gt;0,TEXT(B238,"(aaa)"),"")</f>
        <v/>
      </c>
      <c r="D238" s="215"/>
      <c r="E238" s="216"/>
      <c r="F238" s="214" t="str">
        <f aca="false">IF(E238&gt;0,TEXT(E238,"(aaa)"),"")</f>
        <v/>
      </c>
      <c r="G238" s="215"/>
      <c r="H238" s="216"/>
      <c r="I238" s="214" t="str">
        <f aca="false">IF(H238&gt;0,TEXT(H238,"(aaa)"),"")</f>
        <v/>
      </c>
    </row>
    <row r="239" s="214" customFormat="true" ht="16.5" hidden="false" customHeight="false" outlineLevel="0" collapsed="false">
      <c r="A239" s="212"/>
      <c r="B239" s="213"/>
      <c r="C239" s="214" t="str">
        <f aca="false">IF(B239&gt;0,TEXT(B239,"(aaa)"),"")</f>
        <v/>
      </c>
      <c r="D239" s="215"/>
      <c r="E239" s="216"/>
      <c r="F239" s="214" t="str">
        <f aca="false">IF(E239&gt;0,TEXT(E239,"(aaa)"),"")</f>
        <v/>
      </c>
      <c r="G239" s="215"/>
      <c r="H239" s="216"/>
      <c r="I239" s="214" t="str">
        <f aca="false">IF(H239&gt;0,TEXT(H239,"(aaa)"),"")</f>
        <v/>
      </c>
    </row>
    <row r="240" s="214" customFormat="true" ht="16.5" hidden="false" customHeight="false" outlineLevel="0" collapsed="false">
      <c r="A240" s="212"/>
      <c r="B240" s="213"/>
      <c r="C240" s="214" t="str">
        <f aca="false">IF(B240&gt;0,TEXT(B240,"(aaa)"),"")</f>
        <v/>
      </c>
      <c r="D240" s="215"/>
      <c r="E240" s="216"/>
      <c r="F240" s="214" t="str">
        <f aca="false">IF(E240&gt;0,TEXT(E240,"(aaa)"),"")</f>
        <v/>
      </c>
      <c r="G240" s="215"/>
      <c r="H240" s="216"/>
      <c r="I240" s="214" t="str">
        <f aca="false">IF(H240&gt;0,TEXT(H240,"(aaa)"),"")</f>
        <v/>
      </c>
    </row>
    <row r="241" s="214" customFormat="true" ht="16.5" hidden="false" customHeight="false" outlineLevel="0" collapsed="false">
      <c r="A241" s="212"/>
      <c r="B241" s="213"/>
      <c r="C241" s="214" t="str">
        <f aca="false">IF(B241&gt;0,TEXT(B241,"(aaa)"),"")</f>
        <v/>
      </c>
      <c r="D241" s="215"/>
      <c r="E241" s="216"/>
      <c r="F241" s="214" t="str">
        <f aca="false">IF(E241&gt;0,TEXT(E241,"(aaa)"),"")</f>
        <v/>
      </c>
      <c r="G241" s="215"/>
      <c r="H241" s="216"/>
      <c r="I241" s="214" t="str">
        <f aca="false">IF(H241&gt;0,TEXT(H241,"(aaa)"),"")</f>
        <v/>
      </c>
    </row>
    <row r="242" s="214" customFormat="true" ht="16.5" hidden="false" customHeight="false" outlineLevel="0" collapsed="false">
      <c r="A242" s="215"/>
      <c r="B242" s="216"/>
      <c r="C242" s="214" t="str">
        <f aca="false">IF(B242&gt;0,TEXT(B242,"(aaa)"),"")</f>
        <v/>
      </c>
      <c r="D242" s="215"/>
      <c r="E242" s="216"/>
      <c r="F242" s="214" t="str">
        <f aca="false">IF(E242&gt;0,TEXT(E242,"(aaa)"),"")</f>
        <v/>
      </c>
      <c r="G242" s="215"/>
      <c r="H242" s="216"/>
      <c r="I242" s="214" t="str">
        <f aca="false">IF(H242&gt;0,TEXT(H242,"(aaa)"),"")</f>
        <v/>
      </c>
    </row>
    <row r="243" s="214" customFormat="true" ht="16.5" hidden="false" customHeight="false" outlineLevel="0" collapsed="false">
      <c r="A243" s="215"/>
      <c r="B243" s="216"/>
      <c r="C243" s="214" t="str">
        <f aca="false">IF(B243&gt;0,TEXT(B243,"(aaa)"),"")</f>
        <v/>
      </c>
      <c r="D243" s="215"/>
      <c r="E243" s="216"/>
      <c r="F243" s="214" t="str">
        <f aca="false">IF(E243&gt;0,TEXT(E243,"(aaa)"),"")</f>
        <v/>
      </c>
      <c r="G243" s="215"/>
      <c r="H243" s="216"/>
      <c r="I243" s="214" t="str">
        <f aca="false">IF(H243&gt;0,TEXT(H243,"(aaa)"),"")</f>
        <v/>
      </c>
    </row>
    <row r="244" s="214" customFormat="true" ht="16.5" hidden="false" customHeight="false" outlineLevel="0" collapsed="false">
      <c r="A244" s="215"/>
      <c r="B244" s="216"/>
      <c r="C244" s="214" t="str">
        <f aca="false">IF(B244&gt;0,TEXT(B244,"(aaa)"),"")</f>
        <v/>
      </c>
      <c r="D244" s="215"/>
      <c r="E244" s="216"/>
      <c r="F244" s="214" t="str">
        <f aca="false">IF(E244&gt;0,TEXT(E244,"(aaa)"),"")</f>
        <v/>
      </c>
      <c r="G244" s="215"/>
      <c r="H244" s="216"/>
      <c r="I244" s="214" t="str">
        <f aca="false">IF(H244&gt;0,TEXT(H244,"(aaa)"),"")</f>
        <v/>
      </c>
    </row>
    <row r="245" s="214" customFormat="true" ht="16.5" hidden="false" customHeight="false" outlineLevel="0" collapsed="false">
      <c r="A245" s="215"/>
      <c r="B245" s="216"/>
      <c r="C245" s="214" t="str">
        <f aca="false">IF(B245&gt;0,TEXT(B245,"(aaa)"),"")</f>
        <v/>
      </c>
      <c r="D245" s="215"/>
      <c r="E245" s="216"/>
      <c r="F245" s="214" t="str">
        <f aca="false">IF(E245&gt;0,TEXT(E245,"(aaa)"),"")</f>
        <v/>
      </c>
      <c r="G245" s="215"/>
      <c r="H245" s="216"/>
      <c r="I245" s="214" t="str">
        <f aca="false">IF(H245&gt;0,TEXT(H245,"(aaa)"),"")</f>
        <v/>
      </c>
    </row>
    <row r="246" s="214" customFormat="true" ht="16.5" hidden="false" customHeight="false" outlineLevel="0" collapsed="false">
      <c r="A246" s="215"/>
      <c r="B246" s="216"/>
      <c r="C246" s="214" t="str">
        <f aca="false">IF(B246&gt;0,TEXT(B246,"(aaa)"),"")</f>
        <v/>
      </c>
      <c r="D246" s="215"/>
      <c r="E246" s="216"/>
      <c r="F246" s="214" t="str">
        <f aca="false">IF(E246&gt;0,TEXT(E246,"(aaa)"),"")</f>
        <v/>
      </c>
      <c r="G246" s="215"/>
      <c r="H246" s="216"/>
      <c r="I246" s="214" t="str">
        <f aca="false">IF(H246&gt;0,TEXT(H246,"(aaa)"),"")</f>
        <v/>
      </c>
    </row>
    <row r="247" s="214" customFormat="true" ht="16.5" hidden="false" customHeight="false" outlineLevel="0" collapsed="false">
      <c r="A247" s="215"/>
      <c r="B247" s="216"/>
      <c r="C247" s="214" t="str">
        <f aca="false">IF(B247&gt;0,TEXT(B247,"(aaa)"),"")</f>
        <v/>
      </c>
      <c r="D247" s="215"/>
      <c r="E247" s="216"/>
      <c r="F247" s="214" t="str">
        <f aca="false">IF(E247&gt;0,TEXT(E247,"(aaa)"),"")</f>
        <v/>
      </c>
      <c r="G247" s="215"/>
      <c r="H247" s="216"/>
      <c r="I247" s="214" t="str">
        <f aca="false">IF(H247&gt;0,TEXT(H247,"(aaa)"),"")</f>
        <v/>
      </c>
    </row>
    <row r="248" s="214" customFormat="true" ht="16.5" hidden="false" customHeight="false" outlineLevel="0" collapsed="false">
      <c r="A248" s="215"/>
      <c r="B248" s="216"/>
      <c r="C248" s="214" t="str">
        <f aca="false">IF(B248&gt;0,TEXT(B248,"(aaa)"),"")</f>
        <v/>
      </c>
      <c r="D248" s="215"/>
      <c r="E248" s="216"/>
      <c r="F248" s="214" t="str">
        <f aca="false">IF(E248&gt;0,TEXT(E248,"(aaa)"),"")</f>
        <v/>
      </c>
      <c r="G248" s="215"/>
      <c r="H248" s="216"/>
      <c r="I248" s="214" t="str">
        <f aca="false">IF(H248&gt;0,TEXT(H248,"(aaa)"),"")</f>
        <v/>
      </c>
    </row>
    <row r="249" s="214" customFormat="true" ht="16.5" hidden="false" customHeight="false" outlineLevel="0" collapsed="false">
      <c r="A249" s="215"/>
      <c r="B249" s="216"/>
      <c r="C249" s="214" t="str">
        <f aca="false">IF(B249&gt;0,TEXT(B249,"(aaa)"),"")</f>
        <v/>
      </c>
      <c r="D249" s="215"/>
      <c r="E249" s="216"/>
      <c r="F249" s="214" t="str">
        <f aca="false">IF(E249&gt;0,TEXT(E249,"(aaa)"),"")</f>
        <v/>
      </c>
      <c r="G249" s="215"/>
      <c r="H249" s="216"/>
      <c r="I249" s="214" t="str">
        <f aca="false">IF(H249&gt;0,TEXT(H249,"(aaa)"),"")</f>
        <v/>
      </c>
    </row>
    <row r="250" s="214" customFormat="true" ht="16.5" hidden="false" customHeight="false" outlineLevel="0" collapsed="false">
      <c r="A250" s="215"/>
      <c r="B250" s="216"/>
      <c r="C250" s="214" t="str">
        <f aca="false">IF(B250&gt;0,TEXT(B250,"(aaa)"),"")</f>
        <v/>
      </c>
      <c r="D250" s="215"/>
      <c r="E250" s="216"/>
      <c r="F250" s="214" t="str">
        <f aca="false">IF(E250&gt;0,TEXT(E250,"(aaa)"),"")</f>
        <v/>
      </c>
      <c r="G250" s="215"/>
      <c r="H250" s="216"/>
      <c r="I250" s="214" t="str">
        <f aca="false">IF(H250&gt;0,TEXT(H250,"(aaa)"),"")</f>
        <v/>
      </c>
    </row>
    <row r="251" s="214" customFormat="true" ht="16.5" hidden="false" customHeight="false" outlineLevel="0" collapsed="false">
      <c r="A251" s="215"/>
      <c r="B251" s="216"/>
      <c r="C251" s="214" t="str">
        <f aca="false">IF(B251&gt;0,TEXT(B251,"(aaa)"),"")</f>
        <v/>
      </c>
      <c r="D251" s="215"/>
      <c r="E251" s="216"/>
      <c r="F251" s="214" t="str">
        <f aca="false">IF(E251&gt;0,TEXT(E251,"(aaa)"),"")</f>
        <v/>
      </c>
      <c r="G251" s="215"/>
      <c r="H251" s="216"/>
      <c r="I251" s="214" t="str">
        <f aca="false">IF(H251&gt;0,TEXT(H251,"(aaa)"),"")</f>
        <v/>
      </c>
    </row>
    <row r="252" s="214" customFormat="true" ht="16.5" hidden="false" customHeight="false" outlineLevel="0" collapsed="false">
      <c r="A252" s="215"/>
      <c r="B252" s="216"/>
      <c r="C252" s="214" t="str">
        <f aca="false">IF(B252&gt;0,TEXT(B252,"(aaa)"),"")</f>
        <v/>
      </c>
      <c r="D252" s="215"/>
      <c r="E252" s="216"/>
      <c r="F252" s="214" t="str">
        <f aca="false">IF(E252&gt;0,TEXT(E252,"(aaa)"),"")</f>
        <v/>
      </c>
      <c r="G252" s="215"/>
      <c r="H252" s="216"/>
      <c r="I252" s="214" t="str">
        <f aca="false">IF(H252&gt;0,TEXT(H252,"(aaa)"),"")</f>
        <v/>
      </c>
    </row>
    <row r="253" s="214" customFormat="true" ht="16.5" hidden="false" customHeight="false" outlineLevel="0" collapsed="false">
      <c r="A253" s="215"/>
      <c r="B253" s="216"/>
      <c r="C253" s="214" t="str">
        <f aca="false">IF(B253&gt;0,TEXT(B253,"(aaa)"),"")</f>
        <v/>
      </c>
      <c r="D253" s="215"/>
      <c r="E253" s="216"/>
      <c r="F253" s="214" t="str">
        <f aca="false">IF(E253&gt;0,TEXT(E253,"(aaa)"),"")</f>
        <v/>
      </c>
      <c r="G253" s="215"/>
      <c r="H253" s="216"/>
      <c r="I253" s="214" t="str">
        <f aca="false">IF(H253&gt;0,TEXT(H253,"(aaa)"),"")</f>
        <v/>
      </c>
    </row>
    <row r="254" s="214" customFormat="true" ht="16.5" hidden="false" customHeight="false" outlineLevel="0" collapsed="false">
      <c r="A254" s="215"/>
      <c r="B254" s="216"/>
      <c r="C254" s="214" t="str">
        <f aca="false">IF(B254&gt;0,TEXT(B254,"(aaa)"),"")</f>
        <v/>
      </c>
      <c r="D254" s="215"/>
      <c r="E254" s="216"/>
      <c r="F254" s="214" t="str">
        <f aca="false">IF(E254&gt;0,TEXT(E254,"(aaa)"),"")</f>
        <v/>
      </c>
      <c r="G254" s="215"/>
      <c r="H254" s="216"/>
      <c r="I254" s="214" t="str">
        <f aca="false">IF(H254&gt;0,TEXT(H254,"(aaa)"),"")</f>
        <v/>
      </c>
    </row>
    <row r="255" s="214" customFormat="true" ht="16.5" hidden="false" customHeight="false" outlineLevel="0" collapsed="false">
      <c r="A255" s="215"/>
      <c r="B255" s="216"/>
      <c r="C255" s="214" t="str">
        <f aca="false">IF(B255&gt;0,TEXT(B255,"(aaa)"),"")</f>
        <v/>
      </c>
      <c r="D255" s="215"/>
      <c r="E255" s="216"/>
      <c r="F255" s="214" t="str">
        <f aca="false">IF(E255&gt;0,TEXT(E255,"(aaa)"),"")</f>
        <v/>
      </c>
      <c r="G255" s="215"/>
      <c r="H255" s="216"/>
      <c r="I255" s="214" t="str">
        <f aca="false">IF(H255&gt;0,TEXT(H255,"(aaa)"),"")</f>
        <v/>
      </c>
    </row>
    <row r="256" s="214" customFormat="true" ht="16.5" hidden="false" customHeight="false" outlineLevel="0" collapsed="false">
      <c r="A256" s="215"/>
      <c r="B256" s="216"/>
      <c r="C256" s="214" t="str">
        <f aca="false">IF(B256&gt;0,TEXT(B256,"(aaa)"),"")</f>
        <v/>
      </c>
      <c r="D256" s="215"/>
      <c r="E256" s="216"/>
      <c r="F256" s="214" t="str">
        <f aca="false">IF(E256&gt;0,TEXT(E256,"(aaa)"),"")</f>
        <v/>
      </c>
      <c r="G256" s="215"/>
      <c r="H256" s="216"/>
      <c r="I256" s="214" t="str">
        <f aca="false">IF(H256&gt;0,TEXT(H256,"(aaa)"),"")</f>
        <v/>
      </c>
    </row>
    <row r="257" s="214" customFormat="true" ht="16.5" hidden="false" customHeight="false" outlineLevel="0" collapsed="false">
      <c r="A257" s="215"/>
      <c r="B257" s="216"/>
      <c r="C257" s="214" t="str">
        <f aca="false">IF(B257&gt;0,TEXT(B257,"(aaa)"),"")</f>
        <v/>
      </c>
      <c r="D257" s="215"/>
      <c r="E257" s="216"/>
      <c r="F257" s="214" t="str">
        <f aca="false">IF(E257&gt;0,TEXT(E257,"(aaa)"),"")</f>
        <v/>
      </c>
      <c r="G257" s="215"/>
      <c r="H257" s="216"/>
      <c r="I257" s="214" t="str">
        <f aca="false">IF(H257&gt;0,TEXT(H257,"(aaa)"),"")</f>
        <v/>
      </c>
    </row>
    <row r="258" s="214" customFormat="true" ht="16.5" hidden="false" customHeight="false" outlineLevel="0" collapsed="false">
      <c r="A258" s="215"/>
      <c r="B258" s="216"/>
      <c r="C258" s="214" t="str">
        <f aca="false">IF(B258&gt;0,TEXT(B258,"(aaa)"),"")</f>
        <v/>
      </c>
      <c r="D258" s="215"/>
      <c r="E258" s="216"/>
      <c r="F258" s="214" t="str">
        <f aca="false">IF(E258&gt;0,TEXT(E258,"(aaa)"),"")</f>
        <v/>
      </c>
      <c r="G258" s="215"/>
      <c r="H258" s="216"/>
      <c r="I258" s="214" t="str">
        <f aca="false">IF(H258&gt;0,TEXT(H258,"(aaa)"),"")</f>
        <v/>
      </c>
    </row>
    <row r="259" s="214" customFormat="true" ht="16.5" hidden="false" customHeight="false" outlineLevel="0" collapsed="false">
      <c r="A259" s="215"/>
      <c r="B259" s="216"/>
      <c r="C259" s="214" t="str">
        <f aca="false">IF(B259&gt;0,TEXT(B259,"(aaa)"),"")</f>
        <v/>
      </c>
      <c r="D259" s="215"/>
      <c r="E259" s="216"/>
      <c r="F259" s="214" t="str">
        <f aca="false">IF(E259&gt;0,TEXT(E259,"(aaa)"),"")</f>
        <v/>
      </c>
      <c r="G259" s="215"/>
      <c r="H259" s="216"/>
      <c r="I259" s="214" t="str">
        <f aca="false">IF(H259&gt;0,TEXT(H259,"(aaa)"),"")</f>
        <v/>
      </c>
    </row>
    <row r="260" s="214" customFormat="true" ht="16.5" hidden="false" customHeight="false" outlineLevel="0" collapsed="false">
      <c r="A260" s="215"/>
      <c r="B260" s="216"/>
      <c r="C260" s="214" t="str">
        <f aca="false">IF(B260&gt;0,TEXT(B260,"(aaa)"),"")</f>
        <v/>
      </c>
      <c r="D260" s="215"/>
      <c r="E260" s="216"/>
      <c r="F260" s="214" t="str">
        <f aca="false">IF(E260&gt;0,TEXT(E260,"(aaa)"),"")</f>
        <v/>
      </c>
      <c r="G260" s="215"/>
      <c r="H260" s="216"/>
      <c r="I260" s="214" t="str">
        <f aca="false">IF(H260&gt;0,TEXT(H260,"(aaa)"),"")</f>
        <v/>
      </c>
    </row>
    <row r="261" s="214" customFormat="true" ht="16.5" hidden="false" customHeight="false" outlineLevel="0" collapsed="false">
      <c r="A261" s="215"/>
      <c r="B261" s="216"/>
      <c r="C261" s="214" t="str">
        <f aca="false">IF(B261&gt;0,TEXT(B261,"(aaa)"),"")</f>
        <v/>
      </c>
      <c r="D261" s="215"/>
      <c r="E261" s="216"/>
      <c r="F261" s="214" t="str">
        <f aca="false">IF(E261&gt;0,TEXT(E261,"(aaa)"),"")</f>
        <v/>
      </c>
      <c r="G261" s="215"/>
      <c r="H261" s="216"/>
      <c r="I261" s="214" t="str">
        <f aca="false">IF(H261&gt;0,TEXT(H261,"(aaa)"),"")</f>
        <v/>
      </c>
    </row>
    <row r="262" s="214" customFormat="true" ht="16.5" hidden="false" customHeight="false" outlineLevel="0" collapsed="false">
      <c r="A262" s="215"/>
      <c r="B262" s="216"/>
      <c r="C262" s="214" t="str">
        <f aca="false">IF(B262&gt;0,TEXT(B262,"(aaa)"),"")</f>
        <v/>
      </c>
      <c r="D262" s="215"/>
      <c r="E262" s="216"/>
      <c r="F262" s="214" t="str">
        <f aca="false">IF(E262&gt;0,TEXT(E262,"(aaa)"),"")</f>
        <v/>
      </c>
      <c r="G262" s="215"/>
      <c r="H262" s="216"/>
      <c r="I262" s="214" t="str">
        <f aca="false">IF(H262&gt;0,TEXT(H262,"(aaa)"),"")</f>
        <v/>
      </c>
    </row>
    <row r="263" s="214" customFormat="true" ht="16.5" hidden="false" customHeight="false" outlineLevel="0" collapsed="false">
      <c r="A263" s="215"/>
      <c r="B263" s="216"/>
      <c r="C263" s="214" t="str">
        <f aca="false">IF(B263&gt;0,TEXT(B263,"(aaa)"),"")</f>
        <v/>
      </c>
      <c r="D263" s="215"/>
      <c r="E263" s="216"/>
      <c r="F263" s="214" t="str">
        <f aca="false">IF(E263&gt;0,TEXT(E263,"(aaa)"),"")</f>
        <v/>
      </c>
      <c r="G263" s="215"/>
      <c r="H263" s="216"/>
      <c r="I263" s="214" t="str">
        <f aca="false">IF(H263&gt;0,TEXT(H263,"(aaa)"),"")</f>
        <v/>
      </c>
    </row>
    <row r="264" s="214" customFormat="true" ht="16.5" hidden="false" customHeight="false" outlineLevel="0" collapsed="false">
      <c r="A264" s="215"/>
      <c r="B264" s="216"/>
      <c r="C264" s="214" t="str">
        <f aca="false">IF(B264&gt;0,TEXT(B264,"(aaa)"),"")</f>
        <v/>
      </c>
      <c r="D264" s="215"/>
      <c r="E264" s="216"/>
      <c r="F264" s="214" t="str">
        <f aca="false">IF(E264&gt;0,TEXT(E264,"(aaa)"),"")</f>
        <v/>
      </c>
      <c r="G264" s="215"/>
      <c r="H264" s="216"/>
      <c r="I264" s="214" t="str">
        <f aca="false">IF(H264&gt;0,TEXT(H264,"(aaa)"),"")</f>
        <v/>
      </c>
    </row>
    <row r="265" s="214" customFormat="true" ht="16.5" hidden="false" customHeight="false" outlineLevel="0" collapsed="false">
      <c r="A265" s="215"/>
      <c r="B265" s="216"/>
      <c r="C265" s="214" t="str">
        <f aca="false">IF(B265&gt;0,TEXT(B265,"(aaa)"),"")</f>
        <v/>
      </c>
      <c r="D265" s="215"/>
      <c r="E265" s="216"/>
      <c r="F265" s="214" t="str">
        <f aca="false">IF(E265&gt;0,TEXT(E265,"(aaa)"),"")</f>
        <v/>
      </c>
      <c r="G265" s="215"/>
      <c r="H265" s="216"/>
      <c r="I265" s="214" t="str">
        <f aca="false">IF(H265&gt;0,TEXT(H265,"(aaa)"),"")</f>
        <v/>
      </c>
    </row>
    <row r="266" s="214" customFormat="true" ht="16.5" hidden="false" customHeight="false" outlineLevel="0" collapsed="false">
      <c r="A266" s="215"/>
      <c r="B266" s="216"/>
      <c r="C266" s="214" t="str">
        <f aca="false">IF(B266&gt;0,TEXT(B266,"(aaa)"),"")</f>
        <v/>
      </c>
      <c r="D266" s="215"/>
      <c r="E266" s="216"/>
      <c r="F266" s="214" t="str">
        <f aca="false">IF(E266&gt;0,TEXT(E266,"(aaa)"),"")</f>
        <v/>
      </c>
      <c r="G266" s="215"/>
      <c r="H266" s="216"/>
      <c r="I266" s="214" t="str">
        <f aca="false">IF(H266&gt;0,TEXT(H266,"(aaa)"),"")</f>
        <v/>
      </c>
    </row>
    <row r="267" s="214" customFormat="true" ht="16.5" hidden="false" customHeight="false" outlineLevel="0" collapsed="false">
      <c r="A267" s="215"/>
      <c r="B267" s="216"/>
      <c r="C267" s="214" t="str">
        <f aca="false">IF(B267&gt;0,TEXT(B267,"(aaa)"),"")</f>
        <v/>
      </c>
      <c r="D267" s="215"/>
      <c r="E267" s="216"/>
      <c r="F267" s="214" t="str">
        <f aca="false">IF(E267&gt;0,TEXT(E267,"(aaa)"),"")</f>
        <v/>
      </c>
      <c r="G267" s="215"/>
      <c r="H267" s="216"/>
      <c r="I267" s="214" t="str">
        <f aca="false">IF(H267&gt;0,TEXT(H267,"(aaa)"),"")</f>
        <v/>
      </c>
    </row>
    <row r="268" s="214" customFormat="true" ht="16.5" hidden="false" customHeight="false" outlineLevel="0" collapsed="false">
      <c r="A268" s="215"/>
      <c r="B268" s="216"/>
      <c r="C268" s="214" t="str">
        <f aca="false">IF(B268&gt;0,TEXT(B268,"(aaa)"),"")</f>
        <v/>
      </c>
      <c r="D268" s="215"/>
      <c r="E268" s="216"/>
      <c r="F268" s="214" t="str">
        <f aca="false">IF(E268&gt;0,TEXT(E268,"(aaa)"),"")</f>
        <v/>
      </c>
      <c r="G268" s="215"/>
      <c r="H268" s="216"/>
      <c r="I268" s="214" t="str">
        <f aca="false">IF(H268&gt;0,TEXT(H268,"(aaa)"),"")</f>
        <v/>
      </c>
    </row>
    <row r="269" s="214" customFormat="true" ht="16.5" hidden="false" customHeight="false" outlineLevel="0" collapsed="false">
      <c r="A269" s="215"/>
      <c r="B269" s="216"/>
      <c r="C269" s="214" t="str">
        <f aca="false">IF(B269&gt;0,TEXT(B269,"(aaa)"),"")</f>
        <v/>
      </c>
      <c r="D269" s="215"/>
      <c r="E269" s="216"/>
      <c r="F269" s="214" t="str">
        <f aca="false">IF(E269&gt;0,TEXT(E269,"(aaa)"),"")</f>
        <v/>
      </c>
      <c r="G269" s="215"/>
      <c r="H269" s="216"/>
      <c r="I269" s="214" t="str">
        <f aca="false">IF(H269&gt;0,TEXT(H269,"(aaa)"),"")</f>
        <v/>
      </c>
    </row>
    <row r="270" s="214" customFormat="true" ht="16.5" hidden="false" customHeight="false" outlineLevel="0" collapsed="false">
      <c r="A270" s="215"/>
      <c r="B270" s="216"/>
      <c r="C270" s="214" t="str">
        <f aca="false">IF(B270&gt;0,TEXT(B270,"(aaa)"),"")</f>
        <v/>
      </c>
      <c r="D270" s="215"/>
      <c r="E270" s="216"/>
      <c r="F270" s="214" t="str">
        <f aca="false">IF(E270&gt;0,TEXT(E270,"(aaa)"),"")</f>
        <v/>
      </c>
      <c r="G270" s="215"/>
      <c r="H270" s="216"/>
      <c r="I270" s="214" t="str">
        <f aca="false">IF(H270&gt;0,TEXT(H270,"(aaa)"),"")</f>
        <v/>
      </c>
    </row>
    <row r="271" s="214" customFormat="true" ht="16.5" hidden="false" customHeight="false" outlineLevel="0" collapsed="false">
      <c r="A271" s="215"/>
      <c r="B271" s="216"/>
      <c r="C271" s="214" t="str">
        <f aca="false">IF(B271&gt;0,TEXT(B271,"(aaa)"),"")</f>
        <v/>
      </c>
      <c r="D271" s="215"/>
      <c r="E271" s="216"/>
      <c r="F271" s="214" t="str">
        <f aca="false">IF(E271&gt;0,TEXT(E271,"(aaa)"),"")</f>
        <v/>
      </c>
      <c r="G271" s="215"/>
      <c r="H271" s="216"/>
      <c r="I271" s="214" t="str">
        <f aca="false">IF(H271&gt;0,TEXT(H271,"(aaa)"),"")</f>
        <v/>
      </c>
    </row>
    <row r="272" s="214" customFormat="true" ht="16.5" hidden="false" customHeight="false" outlineLevel="0" collapsed="false">
      <c r="A272" s="215"/>
      <c r="B272" s="216"/>
      <c r="C272" s="214" t="str">
        <f aca="false">IF(B272&gt;0,TEXT(B272,"(aaa)"),"")</f>
        <v/>
      </c>
      <c r="D272" s="215"/>
      <c r="E272" s="216"/>
      <c r="F272" s="214" t="str">
        <f aca="false">IF(E272&gt;0,TEXT(E272,"(aaa)"),"")</f>
        <v/>
      </c>
      <c r="G272" s="215"/>
      <c r="H272" s="216"/>
      <c r="I272" s="214" t="str">
        <f aca="false">IF(H272&gt;0,TEXT(H272,"(aaa)"),"")</f>
        <v/>
      </c>
    </row>
    <row r="273" s="214" customFormat="true" ht="16.5" hidden="false" customHeight="false" outlineLevel="0" collapsed="false">
      <c r="A273" s="215"/>
      <c r="B273" s="216"/>
      <c r="C273" s="214" t="str">
        <f aca="false">IF(B273&gt;0,TEXT(B273,"(aaa)"),"")</f>
        <v/>
      </c>
      <c r="D273" s="215"/>
      <c r="E273" s="216"/>
      <c r="F273" s="214" t="str">
        <f aca="false">IF(E273&gt;0,TEXT(E273,"(aaa)"),"")</f>
        <v/>
      </c>
      <c r="G273" s="215"/>
      <c r="H273" s="216"/>
      <c r="I273" s="214" t="str">
        <f aca="false">IF(H273&gt;0,TEXT(H273,"(aaa)"),"")</f>
        <v/>
      </c>
    </row>
    <row r="274" s="214" customFormat="true" ht="16.5" hidden="false" customHeight="false" outlineLevel="0" collapsed="false">
      <c r="A274" s="215"/>
      <c r="B274" s="216"/>
      <c r="C274" s="214" t="str">
        <f aca="false">IF(B274&gt;0,TEXT(B274,"(aaa)"),"")</f>
        <v/>
      </c>
      <c r="D274" s="215"/>
      <c r="E274" s="216"/>
      <c r="F274" s="214" t="str">
        <f aca="false">IF(E274&gt;0,TEXT(E274,"(aaa)"),"")</f>
        <v/>
      </c>
      <c r="G274" s="215"/>
      <c r="H274" s="216"/>
      <c r="I274" s="214" t="str">
        <f aca="false">IF(H274&gt;0,TEXT(H274,"(aaa)"),"")</f>
        <v/>
      </c>
    </row>
    <row r="275" s="214" customFormat="true" ht="16.5" hidden="false" customHeight="false" outlineLevel="0" collapsed="false">
      <c r="A275" s="215"/>
      <c r="B275" s="216"/>
      <c r="C275" s="214" t="str">
        <f aca="false">IF(B275&gt;0,TEXT(B275,"(aaa)"),"")</f>
        <v/>
      </c>
      <c r="D275" s="215"/>
      <c r="E275" s="216"/>
      <c r="F275" s="214" t="str">
        <f aca="false">IF(E275&gt;0,TEXT(E275,"(aaa)"),"")</f>
        <v/>
      </c>
      <c r="G275" s="215"/>
      <c r="H275" s="216"/>
      <c r="I275" s="214" t="str">
        <f aca="false">IF(H275&gt;0,TEXT(H275,"(aaa)"),"")</f>
        <v/>
      </c>
    </row>
    <row r="276" s="214" customFormat="true" ht="16.5" hidden="false" customHeight="false" outlineLevel="0" collapsed="false">
      <c r="A276" s="215"/>
      <c r="B276" s="216"/>
      <c r="C276" s="214" t="str">
        <f aca="false">IF(B276&gt;0,TEXT(B276,"(aaa)"),"")</f>
        <v/>
      </c>
      <c r="D276" s="215"/>
      <c r="E276" s="216"/>
      <c r="F276" s="214" t="str">
        <f aca="false">IF(E276&gt;0,TEXT(E276,"(aaa)"),"")</f>
        <v/>
      </c>
      <c r="G276" s="215"/>
      <c r="H276" s="216"/>
      <c r="I276" s="214" t="str">
        <f aca="false">IF(H276&gt;0,TEXT(H276,"(aaa)"),"")</f>
        <v/>
      </c>
    </row>
    <row r="277" s="214" customFormat="true" ht="16.5" hidden="false" customHeight="false" outlineLevel="0" collapsed="false">
      <c r="A277" s="215"/>
      <c r="B277" s="216"/>
      <c r="C277" s="214" t="str">
        <f aca="false">IF(B277&gt;0,TEXT(B277,"(aaa)"),"")</f>
        <v/>
      </c>
      <c r="D277" s="215"/>
      <c r="E277" s="216"/>
      <c r="F277" s="214" t="str">
        <f aca="false">IF(E277&gt;0,TEXT(E277,"(aaa)"),"")</f>
        <v/>
      </c>
      <c r="G277" s="215"/>
      <c r="H277" s="216"/>
      <c r="I277" s="214" t="str">
        <f aca="false">IF(H277&gt;0,TEXT(H277,"(aaa)"),"")</f>
        <v/>
      </c>
    </row>
    <row r="278" s="214" customFormat="true" ht="16.5" hidden="false" customHeight="false" outlineLevel="0" collapsed="false">
      <c r="A278" s="215"/>
      <c r="B278" s="216"/>
      <c r="C278" s="214" t="str">
        <f aca="false">IF(B278&gt;0,TEXT(B278,"(aaa)"),"")</f>
        <v/>
      </c>
      <c r="D278" s="215"/>
      <c r="E278" s="216"/>
      <c r="F278" s="214" t="str">
        <f aca="false">IF(E278&gt;0,TEXT(E278,"(aaa)"),"")</f>
        <v/>
      </c>
      <c r="G278" s="215"/>
      <c r="H278" s="216"/>
      <c r="I278" s="214" t="str">
        <f aca="false">IF(H278&gt;0,TEXT(H278,"(aaa)"),"")</f>
        <v/>
      </c>
    </row>
    <row r="279" s="214" customFormat="true" ht="16.5" hidden="false" customHeight="false" outlineLevel="0" collapsed="false">
      <c r="A279" s="215"/>
      <c r="B279" s="216"/>
      <c r="C279" s="214" t="str">
        <f aca="false">IF(B279&gt;0,TEXT(B279,"(aaa)"),"")</f>
        <v/>
      </c>
      <c r="D279" s="215"/>
      <c r="E279" s="216"/>
      <c r="F279" s="214" t="str">
        <f aca="false">IF(E279&gt;0,TEXT(E279,"(aaa)"),"")</f>
        <v/>
      </c>
      <c r="G279" s="215"/>
      <c r="H279" s="216"/>
      <c r="I279" s="214" t="str">
        <f aca="false">IF(H279&gt;0,TEXT(H279,"(aaa)"),"")</f>
        <v/>
      </c>
    </row>
    <row r="280" s="214" customFormat="true" ht="16.5" hidden="false" customHeight="false" outlineLevel="0" collapsed="false">
      <c r="A280" s="215"/>
      <c r="B280" s="216"/>
      <c r="C280" s="214" t="str">
        <f aca="false">IF(B280&gt;0,TEXT(B280,"(aaa)"),"")</f>
        <v/>
      </c>
      <c r="D280" s="215"/>
      <c r="E280" s="216"/>
      <c r="F280" s="214" t="str">
        <f aca="false">IF(E280&gt;0,TEXT(E280,"(aaa)"),"")</f>
        <v/>
      </c>
      <c r="G280" s="215"/>
      <c r="H280" s="216"/>
      <c r="I280" s="214" t="str">
        <f aca="false">IF(H280&gt;0,TEXT(H280,"(aaa)"),"")</f>
        <v/>
      </c>
    </row>
    <row r="281" s="214" customFormat="true" ht="16.5" hidden="false" customHeight="false" outlineLevel="0" collapsed="false">
      <c r="A281" s="215"/>
      <c r="B281" s="216"/>
      <c r="C281" s="214" t="str">
        <f aca="false">IF(B281&gt;0,TEXT(B281,"(aaa)"),"")</f>
        <v/>
      </c>
      <c r="D281" s="215"/>
      <c r="E281" s="216"/>
      <c r="F281" s="214" t="str">
        <f aca="false">IF(E281&gt;0,TEXT(E281,"(aaa)"),"")</f>
        <v/>
      </c>
      <c r="G281" s="215"/>
      <c r="H281" s="216"/>
      <c r="I281" s="214" t="str">
        <f aca="false">IF(H281&gt;0,TEXT(H281,"(aaa)"),"")</f>
        <v/>
      </c>
    </row>
    <row r="282" s="214" customFormat="true" ht="16.5" hidden="false" customHeight="false" outlineLevel="0" collapsed="false">
      <c r="A282" s="215"/>
      <c r="B282" s="216"/>
      <c r="C282" s="214" t="str">
        <f aca="false">IF(B282&gt;0,TEXT(B282,"(aaa)"),"")</f>
        <v/>
      </c>
      <c r="D282" s="215"/>
      <c r="E282" s="216"/>
      <c r="F282" s="214" t="str">
        <f aca="false">IF(E282&gt;0,TEXT(E282,"(aaa)"),"")</f>
        <v/>
      </c>
      <c r="G282" s="215"/>
      <c r="H282" s="216"/>
      <c r="I282" s="214" t="str">
        <f aca="false">IF(H282&gt;0,TEXT(H282,"(aaa)"),"")</f>
        <v/>
      </c>
    </row>
    <row r="283" s="214" customFormat="true" ht="16.5" hidden="false" customHeight="false" outlineLevel="0" collapsed="false">
      <c r="A283" s="215"/>
      <c r="B283" s="216"/>
      <c r="C283" s="214" t="str">
        <f aca="false">IF(B283&gt;0,TEXT(B283,"(aaa)"),"")</f>
        <v/>
      </c>
      <c r="D283" s="215"/>
      <c r="E283" s="216"/>
      <c r="F283" s="214" t="str">
        <f aca="false">IF(E283&gt;0,TEXT(E283,"(aaa)"),"")</f>
        <v/>
      </c>
      <c r="G283" s="215"/>
      <c r="H283" s="216"/>
      <c r="I283" s="214" t="str">
        <f aca="false">IF(H283&gt;0,TEXT(H283,"(aaa)"),"")</f>
        <v/>
      </c>
    </row>
    <row r="284" s="214" customFormat="true" ht="16.5" hidden="false" customHeight="false" outlineLevel="0" collapsed="false">
      <c r="A284" s="215"/>
      <c r="B284" s="216"/>
      <c r="C284" s="214" t="str">
        <f aca="false">IF(B284&gt;0,TEXT(B284,"(aaa)"),"")</f>
        <v/>
      </c>
      <c r="D284" s="215"/>
      <c r="E284" s="216"/>
      <c r="F284" s="214" t="str">
        <f aca="false">IF(E284&gt;0,TEXT(E284,"(aaa)"),"")</f>
        <v/>
      </c>
      <c r="G284" s="215"/>
      <c r="H284" s="216"/>
      <c r="I284" s="214" t="str">
        <f aca="false">IF(H284&gt;0,TEXT(H284,"(aaa)"),"")</f>
        <v/>
      </c>
    </row>
    <row r="285" s="214" customFormat="true" ht="16.5" hidden="false" customHeight="false" outlineLevel="0" collapsed="false">
      <c r="A285" s="215"/>
      <c r="B285" s="216"/>
      <c r="C285" s="214" t="str">
        <f aca="false">IF(B285&gt;0,TEXT(B285,"(aaa)"),"")</f>
        <v/>
      </c>
      <c r="D285" s="215"/>
      <c r="E285" s="216"/>
      <c r="F285" s="214" t="str">
        <f aca="false">IF(E285&gt;0,TEXT(E285,"(aaa)"),"")</f>
        <v/>
      </c>
      <c r="G285" s="215"/>
      <c r="H285" s="216"/>
      <c r="I285" s="214" t="str">
        <f aca="false">IF(H285&gt;0,TEXT(H285,"(aaa)"),"")</f>
        <v/>
      </c>
    </row>
    <row r="286" s="214" customFormat="true" ht="16.5" hidden="false" customHeight="false" outlineLevel="0" collapsed="false">
      <c r="A286" s="215"/>
      <c r="B286" s="216"/>
      <c r="C286" s="214" t="str">
        <f aca="false">IF(B286&gt;0,TEXT(B286,"(aaa)"),"")</f>
        <v/>
      </c>
      <c r="D286" s="215"/>
      <c r="E286" s="216"/>
      <c r="F286" s="214" t="str">
        <f aca="false">IF(E286&gt;0,TEXT(E286,"(aaa)"),"")</f>
        <v/>
      </c>
      <c r="G286" s="215"/>
      <c r="H286" s="216"/>
      <c r="I286" s="214" t="str">
        <f aca="false">IF(H286&gt;0,TEXT(H286,"(aaa)"),"")</f>
        <v/>
      </c>
    </row>
    <row r="287" s="214" customFormat="true" ht="16.5" hidden="false" customHeight="false" outlineLevel="0" collapsed="false">
      <c r="A287" s="215"/>
      <c r="B287" s="216"/>
      <c r="C287" s="214" t="str">
        <f aca="false">IF(B287&gt;0,TEXT(B287,"(aaa)"),"")</f>
        <v/>
      </c>
      <c r="D287" s="215"/>
      <c r="E287" s="216"/>
      <c r="F287" s="214" t="str">
        <f aca="false">IF(E287&gt;0,TEXT(E287,"(aaa)"),"")</f>
        <v/>
      </c>
      <c r="G287" s="215"/>
      <c r="H287" s="216"/>
      <c r="I287" s="214" t="str">
        <f aca="false">IF(H287&gt;0,TEXT(H287,"(aaa)"),"")</f>
        <v/>
      </c>
    </row>
    <row r="288" s="214" customFormat="true" ht="16.5" hidden="false" customHeight="false" outlineLevel="0" collapsed="false">
      <c r="A288" s="215"/>
      <c r="B288" s="216"/>
      <c r="C288" s="214" t="str">
        <f aca="false">IF(B288&gt;0,TEXT(B288,"(aaa)"),"")</f>
        <v/>
      </c>
      <c r="D288" s="215"/>
      <c r="E288" s="216"/>
      <c r="F288" s="214" t="str">
        <f aca="false">IF(E288&gt;0,TEXT(E288,"(aaa)"),"")</f>
        <v/>
      </c>
      <c r="G288" s="215"/>
      <c r="H288" s="216"/>
      <c r="I288" s="214" t="str">
        <f aca="false">IF(H288&gt;0,TEXT(H288,"(aaa)"),"")</f>
        <v/>
      </c>
    </row>
    <row r="289" s="214" customFormat="true" ht="16.5" hidden="false" customHeight="false" outlineLevel="0" collapsed="false">
      <c r="A289" s="215"/>
      <c r="B289" s="216"/>
      <c r="C289" s="214" t="str">
        <f aca="false">IF(B289&gt;0,TEXT(B289,"(aaa)"),"")</f>
        <v/>
      </c>
      <c r="D289" s="215"/>
      <c r="E289" s="216"/>
      <c r="F289" s="214" t="str">
        <f aca="false">IF(E289&gt;0,TEXT(E289,"(aaa)"),"")</f>
        <v/>
      </c>
      <c r="G289" s="215"/>
      <c r="H289" s="216"/>
      <c r="I289" s="214" t="str">
        <f aca="false">IF(H289&gt;0,TEXT(H289,"(aaa)"),"")</f>
        <v/>
      </c>
    </row>
    <row r="290" s="214" customFormat="true" ht="16.5" hidden="false" customHeight="false" outlineLevel="0" collapsed="false">
      <c r="A290" s="215"/>
      <c r="B290" s="216"/>
      <c r="C290" s="214" t="str">
        <f aca="false">IF(B290&gt;0,TEXT(B290,"(aaa)"),"")</f>
        <v/>
      </c>
      <c r="D290" s="215"/>
      <c r="E290" s="216"/>
      <c r="F290" s="214" t="str">
        <f aca="false">IF(E290&gt;0,TEXT(E290,"(aaa)"),"")</f>
        <v/>
      </c>
      <c r="G290" s="215"/>
      <c r="H290" s="216"/>
      <c r="I290" s="214" t="str">
        <f aca="false">IF(H290&gt;0,TEXT(H290,"(aaa)"),"")</f>
        <v/>
      </c>
    </row>
    <row r="291" s="214" customFormat="true" ht="16.5" hidden="false" customHeight="false" outlineLevel="0" collapsed="false">
      <c r="A291" s="215"/>
      <c r="B291" s="216"/>
      <c r="C291" s="214" t="str">
        <f aca="false">IF(B291&gt;0,TEXT(B291,"(aaa)"),"")</f>
        <v/>
      </c>
      <c r="D291" s="215"/>
      <c r="E291" s="216"/>
      <c r="F291" s="214" t="str">
        <f aca="false">IF(E291&gt;0,TEXT(E291,"(aaa)"),"")</f>
        <v/>
      </c>
      <c r="G291" s="215"/>
      <c r="H291" s="216"/>
      <c r="I291" s="214" t="str">
        <f aca="false">IF(H291&gt;0,TEXT(H291,"(aaa)"),"")</f>
        <v/>
      </c>
    </row>
    <row r="292" s="214" customFormat="true" ht="16.5" hidden="false" customHeight="false" outlineLevel="0" collapsed="false">
      <c r="A292" s="215"/>
      <c r="B292" s="216"/>
      <c r="C292" s="214" t="str">
        <f aca="false">IF(B292&gt;0,TEXT(B292,"(aaa)"),"")</f>
        <v/>
      </c>
      <c r="D292" s="215"/>
      <c r="E292" s="216"/>
      <c r="F292" s="214" t="str">
        <f aca="false">IF(E292&gt;0,TEXT(E292,"(aaa)"),"")</f>
        <v/>
      </c>
      <c r="G292" s="215"/>
      <c r="H292" s="216"/>
      <c r="I292" s="214" t="str">
        <f aca="false">IF(H292&gt;0,TEXT(H292,"(aaa)"),"")</f>
        <v/>
      </c>
    </row>
    <row r="293" s="214" customFormat="true" ht="16.5" hidden="false" customHeight="false" outlineLevel="0" collapsed="false">
      <c r="A293" s="215"/>
      <c r="B293" s="216"/>
      <c r="C293" s="214" t="str">
        <f aca="false">IF(B293&gt;0,TEXT(B293,"(aaa)"),"")</f>
        <v/>
      </c>
      <c r="D293" s="215"/>
      <c r="E293" s="216"/>
      <c r="F293" s="214" t="str">
        <f aca="false">IF(E293&gt;0,TEXT(E293,"(aaa)"),"")</f>
        <v/>
      </c>
      <c r="G293" s="215"/>
      <c r="H293" s="216"/>
      <c r="I293" s="214" t="str">
        <f aca="false">IF(H293&gt;0,TEXT(H293,"(aaa)"),"")</f>
        <v/>
      </c>
    </row>
    <row r="294" s="214" customFormat="true" ht="16.5" hidden="false" customHeight="false" outlineLevel="0" collapsed="false">
      <c r="A294" s="215"/>
      <c r="B294" s="216"/>
      <c r="C294" s="214" t="str">
        <f aca="false">IF(B294&gt;0,TEXT(B294,"(aaa)"),"")</f>
        <v/>
      </c>
      <c r="D294" s="215"/>
      <c r="E294" s="216"/>
      <c r="F294" s="214" t="str">
        <f aca="false">IF(E294&gt;0,TEXT(E294,"(aaa)"),"")</f>
        <v/>
      </c>
      <c r="G294" s="215"/>
      <c r="H294" s="216"/>
      <c r="I294" s="214" t="str">
        <f aca="false">IF(H294&gt;0,TEXT(H294,"(aaa)"),"")</f>
        <v/>
      </c>
    </row>
    <row r="295" s="214" customFormat="true" ht="16.5" hidden="false" customHeight="false" outlineLevel="0" collapsed="false">
      <c r="A295" s="215"/>
      <c r="B295" s="216"/>
      <c r="C295" s="214" t="str">
        <f aca="false">IF(B295&gt;0,TEXT(B295,"(aaa)"),"")</f>
        <v/>
      </c>
      <c r="D295" s="215"/>
      <c r="E295" s="216"/>
      <c r="F295" s="214" t="str">
        <f aca="false">IF(E295&gt;0,TEXT(E295,"(aaa)"),"")</f>
        <v/>
      </c>
      <c r="G295" s="215"/>
      <c r="H295" s="216"/>
      <c r="I295" s="214" t="str">
        <f aca="false">IF(H295&gt;0,TEXT(H295,"(aaa)"),"")</f>
        <v/>
      </c>
    </row>
    <row r="296" s="214" customFormat="true" ht="16.5" hidden="false" customHeight="false" outlineLevel="0" collapsed="false">
      <c r="A296" s="215"/>
      <c r="B296" s="216"/>
      <c r="C296" s="214" t="str">
        <f aca="false">IF(B296&gt;0,TEXT(B296,"(aaa)"),"")</f>
        <v/>
      </c>
      <c r="D296" s="215"/>
      <c r="E296" s="216"/>
      <c r="F296" s="214" t="str">
        <f aca="false">IF(E296&gt;0,TEXT(E296,"(aaa)"),"")</f>
        <v/>
      </c>
      <c r="G296" s="215"/>
      <c r="H296" s="216"/>
      <c r="I296" s="214" t="str">
        <f aca="false">IF(H296&gt;0,TEXT(H296,"(aaa)"),"")</f>
        <v/>
      </c>
    </row>
    <row r="297" s="214" customFormat="true" ht="16.5" hidden="false" customHeight="false" outlineLevel="0" collapsed="false">
      <c r="A297" s="215"/>
      <c r="B297" s="216"/>
      <c r="C297" s="214" t="str">
        <f aca="false">IF(B297&gt;0,TEXT(B297,"(aaa)"),"")</f>
        <v/>
      </c>
      <c r="D297" s="215"/>
      <c r="E297" s="216"/>
      <c r="F297" s="214" t="str">
        <f aca="false">IF(E297&gt;0,TEXT(E297,"(aaa)"),"")</f>
        <v/>
      </c>
      <c r="G297" s="215"/>
      <c r="H297" s="216"/>
      <c r="I297" s="214" t="str">
        <f aca="false">IF(H297&gt;0,TEXT(H297,"(aaa)"),"")</f>
        <v/>
      </c>
    </row>
    <row r="298" s="214" customFormat="true" ht="16.5" hidden="false" customHeight="false" outlineLevel="0" collapsed="false">
      <c r="A298" s="215"/>
      <c r="B298" s="216"/>
      <c r="C298" s="214" t="str">
        <f aca="false">IF(B298&gt;0,TEXT(B298,"(aaa)"),"")</f>
        <v/>
      </c>
      <c r="D298" s="215"/>
      <c r="E298" s="216"/>
      <c r="F298" s="214" t="str">
        <f aca="false">IF(E298&gt;0,TEXT(E298,"(aaa)"),"")</f>
        <v/>
      </c>
      <c r="G298" s="215"/>
      <c r="H298" s="216"/>
      <c r="I298" s="214" t="str">
        <f aca="false">IF(H298&gt;0,TEXT(H298,"(aaa)"),"")</f>
        <v/>
      </c>
    </row>
    <row r="299" s="214" customFormat="true" ht="16.5" hidden="false" customHeight="false" outlineLevel="0" collapsed="false">
      <c r="A299" s="215"/>
      <c r="B299" s="216"/>
      <c r="C299" s="214" t="str">
        <f aca="false">IF(B299&gt;0,TEXT(B299,"(aaa)"),"")</f>
        <v/>
      </c>
      <c r="D299" s="215"/>
      <c r="E299" s="216"/>
      <c r="F299" s="214" t="str">
        <f aca="false">IF(E299&gt;0,TEXT(E299,"(aaa)"),"")</f>
        <v/>
      </c>
      <c r="G299" s="215"/>
      <c r="H299" s="216"/>
      <c r="I299" s="214" t="str">
        <f aca="false">IF(H299&gt;0,TEXT(H299,"(aaa)"),"")</f>
        <v/>
      </c>
    </row>
    <row r="300" s="214" customFormat="true" ht="16.5" hidden="false" customHeight="false" outlineLevel="0" collapsed="false">
      <c r="A300" s="215"/>
      <c r="B300" s="216"/>
      <c r="C300" s="214" t="str">
        <f aca="false">IF(B300&gt;0,TEXT(B300,"(aaa)"),"")</f>
        <v/>
      </c>
      <c r="D300" s="215"/>
      <c r="E300" s="216"/>
      <c r="F300" s="214" t="str">
        <f aca="false">IF(E300&gt;0,TEXT(E300,"(aaa)"),"")</f>
        <v/>
      </c>
      <c r="G300" s="215"/>
      <c r="H300" s="216"/>
      <c r="I300" s="214" t="str">
        <f aca="false">IF(H300&gt;0,TEXT(H300,"(aaa)"),"")</f>
        <v/>
      </c>
    </row>
    <row r="301" s="214" customFormat="true" ht="16.5" hidden="false" customHeight="false" outlineLevel="0" collapsed="false">
      <c r="A301" s="215"/>
      <c r="B301" s="216"/>
      <c r="C301" s="214" t="str">
        <f aca="false">IF(B301&gt;0,TEXT(B301,"(aaa)"),"")</f>
        <v/>
      </c>
      <c r="D301" s="215"/>
      <c r="E301" s="216"/>
      <c r="F301" s="214" t="str">
        <f aca="false">IF(E301&gt;0,TEXT(E301,"(aaa)"),"")</f>
        <v/>
      </c>
      <c r="G301" s="215"/>
      <c r="H301" s="216"/>
      <c r="I301" s="214" t="str">
        <f aca="false">IF(H301&gt;0,TEXT(H301,"(aaa)"),"")</f>
        <v/>
      </c>
    </row>
    <row r="302" s="214" customFormat="true" ht="16.5" hidden="false" customHeight="false" outlineLevel="0" collapsed="false">
      <c r="A302" s="215"/>
      <c r="B302" s="218"/>
      <c r="C302" s="214" t="str">
        <f aca="false">IF(B302&gt;0,TEXT(B302,"(aaa)"),"")</f>
        <v/>
      </c>
      <c r="D302" s="215"/>
      <c r="E302" s="218"/>
      <c r="F302" s="214" t="str">
        <f aca="false">IF(E302&gt;0,TEXT(E302,"(aaa)"),"")</f>
        <v/>
      </c>
      <c r="G302" s="215"/>
      <c r="H302" s="218"/>
      <c r="I302" s="214" t="str">
        <f aca="false">IF(H302&gt;0,TEXT(H302,"(aaa)"),"")</f>
        <v/>
      </c>
    </row>
    <row r="303" s="214" customFormat="true" ht="16.5" hidden="false" customHeight="false" outlineLevel="0" collapsed="false">
      <c r="A303" s="215"/>
      <c r="B303" s="218"/>
      <c r="C303" s="214" t="str">
        <f aca="false">IF(B303&gt;0,TEXT(B303,"(aaa)"),"")</f>
        <v/>
      </c>
      <c r="D303" s="215"/>
      <c r="E303" s="218"/>
      <c r="F303" s="214" t="str">
        <f aca="false">IF(E303&gt;0,TEXT(E303,"(aaa)"),"")</f>
        <v/>
      </c>
      <c r="G303" s="215"/>
      <c r="H303" s="218"/>
      <c r="I303" s="214" t="str">
        <f aca="false">IF(H303&gt;0,TEXT(H303,"(aaa)"),"")</f>
        <v/>
      </c>
    </row>
    <row r="304" s="214" customFormat="true" ht="16.5" hidden="false" customHeight="false" outlineLevel="0" collapsed="false">
      <c r="A304" s="215"/>
      <c r="B304" s="218"/>
      <c r="C304" s="214" t="str">
        <f aca="false">IF(B304&gt;0,TEXT(B304,"(aaa)"),"")</f>
        <v/>
      </c>
      <c r="D304" s="215"/>
      <c r="E304" s="218"/>
      <c r="F304" s="214" t="str">
        <f aca="false">IF(E304&gt;0,TEXT(E304,"(aaa)"),"")</f>
        <v/>
      </c>
      <c r="G304" s="215"/>
      <c r="H304" s="218"/>
      <c r="I304" s="214" t="str">
        <f aca="false">IF(H304&gt;0,TEXT(H304,"(aaa)"),"")</f>
        <v/>
      </c>
    </row>
    <row r="305" s="214" customFormat="true" ht="16.5" hidden="false" customHeight="false" outlineLevel="0" collapsed="false">
      <c r="A305" s="214" t="s">
        <v>374</v>
      </c>
      <c r="D305" s="214" t="s">
        <v>374</v>
      </c>
      <c r="G305" s="214" t="s">
        <v>374</v>
      </c>
    </row>
  </sheetData>
  <mergeCells count="4">
    <mergeCell ref="A2:H2"/>
    <mergeCell ref="A3:B3"/>
    <mergeCell ref="D3:E3"/>
    <mergeCell ref="G3:H3"/>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A1:F491"/>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pane xSplit="0" ySplit="1" topLeftCell="A55" activePane="bottomLeft" state="frozen"/>
      <selection pane="topLeft" activeCell="B1" activeCellId="0" sqref="B1"/>
      <selection pane="bottomLeft" activeCell="D79" activeCellId="0" sqref="D79"/>
    </sheetView>
  </sheetViews>
  <sheetFormatPr defaultRowHeight="12" zeroHeight="false" outlineLevelRow="0" outlineLevelCol="0"/>
  <cols>
    <col collapsed="false" customWidth="true" hidden="false" outlineLevel="0" max="1" min="1" style="219" width="7.63"/>
    <col collapsed="false" customWidth="true" hidden="false" outlineLevel="0" max="2" min="2" style="220" width="8.37"/>
    <col collapsed="false" customWidth="true" hidden="false" outlineLevel="0" max="3" min="3" style="221" width="15.75"/>
    <col collapsed="false" customWidth="true" hidden="false" outlineLevel="0" max="4" min="4" style="222" width="60.62"/>
    <col collapsed="false" customWidth="true" hidden="false" outlineLevel="0" max="5" min="5" style="222" width="72.75"/>
    <col collapsed="false" customWidth="true" hidden="false" outlineLevel="0" max="1025" min="6" style="219" width="73.38"/>
  </cols>
  <sheetData>
    <row r="1" s="223" customFormat="true" ht="24.75" hidden="false" customHeight="true" outlineLevel="0" collapsed="false">
      <c r="A1" s="223" t="s">
        <v>375</v>
      </c>
      <c r="B1" s="223" t="s">
        <v>376</v>
      </c>
      <c r="C1" s="224" t="s">
        <v>377</v>
      </c>
      <c r="D1" s="224" t="s">
        <v>378</v>
      </c>
      <c r="E1" s="224" t="s">
        <v>379</v>
      </c>
    </row>
    <row r="2" customFormat="false" ht="60" hidden="false" customHeight="false" outlineLevel="0" collapsed="false">
      <c r="A2" s="219" t="s">
        <v>380</v>
      </c>
      <c r="B2" s="220" t="n">
        <v>1</v>
      </c>
      <c r="C2" s="221" t="s">
        <v>381</v>
      </c>
      <c r="D2" s="222" t="s">
        <v>382</v>
      </c>
      <c r="E2" s="222" t="s">
        <v>383</v>
      </c>
    </row>
    <row r="3" customFormat="false" ht="112.5" hidden="false" customHeight="true" outlineLevel="0" collapsed="false">
      <c r="A3" s="225" t="n">
        <v>500</v>
      </c>
      <c r="B3" s="220" t="n">
        <v>2</v>
      </c>
      <c r="C3" s="221" t="s">
        <v>381</v>
      </c>
      <c r="D3" s="222" t="s">
        <v>384</v>
      </c>
      <c r="E3" s="222" t="s">
        <v>385</v>
      </c>
    </row>
    <row r="4" customFormat="false" ht="48" hidden="false" customHeight="false" outlineLevel="0" collapsed="false">
      <c r="B4" s="220" t="n">
        <v>3</v>
      </c>
      <c r="C4" s="221" t="s">
        <v>381</v>
      </c>
      <c r="D4" s="222" t="s">
        <v>386</v>
      </c>
      <c r="E4" s="222" t="s">
        <v>387</v>
      </c>
    </row>
    <row r="5" customFormat="false" ht="48" hidden="false" customHeight="false" outlineLevel="0" collapsed="false">
      <c r="B5" s="220" t="n">
        <v>4</v>
      </c>
      <c r="C5" s="221" t="s">
        <v>381</v>
      </c>
      <c r="D5" s="222" t="s">
        <v>388</v>
      </c>
      <c r="E5" s="222" t="s">
        <v>389</v>
      </c>
    </row>
    <row r="6" customFormat="false" ht="48" hidden="false" customHeight="false" outlineLevel="0" collapsed="false">
      <c r="B6" s="220" t="n">
        <v>5</v>
      </c>
      <c r="C6" s="221" t="s">
        <v>381</v>
      </c>
      <c r="D6" s="222" t="s">
        <v>390</v>
      </c>
      <c r="E6" s="222" t="s">
        <v>391</v>
      </c>
    </row>
    <row r="7" customFormat="false" ht="36" hidden="false" customHeight="false" outlineLevel="0" collapsed="false">
      <c r="B7" s="220" t="n">
        <v>6</v>
      </c>
      <c r="C7" s="221" t="s">
        <v>381</v>
      </c>
      <c r="D7" s="222" t="s">
        <v>392</v>
      </c>
      <c r="E7" s="222" t="s">
        <v>393</v>
      </c>
    </row>
    <row r="8" customFormat="false" ht="12" hidden="false" customHeight="false" outlineLevel="0" collapsed="false">
      <c r="B8" s="220" t="n">
        <v>7</v>
      </c>
      <c r="C8" s="221" t="s">
        <v>381</v>
      </c>
      <c r="D8" s="222" t="s">
        <v>394</v>
      </c>
      <c r="E8" s="222" t="s">
        <v>395</v>
      </c>
    </row>
    <row r="9" customFormat="false" ht="12" hidden="false" customHeight="false" outlineLevel="0" collapsed="false">
      <c r="B9" s="220" t="n">
        <v>101</v>
      </c>
      <c r="D9" s="222" t="s">
        <v>396</v>
      </c>
      <c r="E9" s="222" t="s">
        <v>397</v>
      </c>
    </row>
    <row r="10" customFormat="false" ht="12" hidden="false" customHeight="false" outlineLevel="0" collapsed="false">
      <c r="B10" s="220" t="n">
        <v>102</v>
      </c>
      <c r="D10" s="222" t="s">
        <v>398</v>
      </c>
      <c r="E10" s="222" t="s">
        <v>399</v>
      </c>
    </row>
    <row r="11" customFormat="false" ht="12" hidden="false" customHeight="false" outlineLevel="0" collapsed="false">
      <c r="B11" s="220" t="n">
        <v>103</v>
      </c>
      <c r="D11" s="222" t="s">
        <v>400</v>
      </c>
      <c r="E11" s="222" t="s">
        <v>401</v>
      </c>
    </row>
    <row r="12" customFormat="false" ht="12" hidden="false" customHeight="false" outlineLevel="0" collapsed="false">
      <c r="B12" s="220" t="n">
        <v>104</v>
      </c>
      <c r="D12" s="222" t="s">
        <v>402</v>
      </c>
      <c r="E12" s="222" t="s">
        <v>403</v>
      </c>
    </row>
    <row r="13" customFormat="false" ht="12" hidden="false" customHeight="false" outlineLevel="0" collapsed="false">
      <c r="B13" s="220" t="n">
        <v>105</v>
      </c>
      <c r="D13" s="222" t="s">
        <v>404</v>
      </c>
      <c r="E13" s="222" t="s">
        <v>405</v>
      </c>
    </row>
    <row r="14" customFormat="false" ht="12" hidden="false" customHeight="false" outlineLevel="0" collapsed="false">
      <c r="B14" s="220" t="n">
        <v>106</v>
      </c>
      <c r="D14" s="222" t="s">
        <v>406</v>
      </c>
      <c r="E14" s="222" t="s">
        <v>407</v>
      </c>
    </row>
    <row r="15" customFormat="false" ht="24" hidden="false" customHeight="false" outlineLevel="0" collapsed="false">
      <c r="B15" s="220" t="n">
        <v>107</v>
      </c>
      <c r="D15" s="222" t="s">
        <v>408</v>
      </c>
      <c r="E15" s="222" t="s">
        <v>409</v>
      </c>
    </row>
    <row r="16" customFormat="false" ht="36" hidden="false" customHeight="false" outlineLevel="0" collapsed="false">
      <c r="B16" s="220" t="n">
        <v>108</v>
      </c>
      <c r="D16" s="222" t="s">
        <v>410</v>
      </c>
      <c r="E16" s="222" t="s">
        <v>411</v>
      </c>
    </row>
    <row r="17" customFormat="false" ht="12" hidden="false" customHeight="false" outlineLevel="0" collapsed="false">
      <c r="B17" s="220" t="n">
        <v>109</v>
      </c>
      <c r="D17" s="222" t="s">
        <v>412</v>
      </c>
      <c r="E17" s="222" t="s">
        <v>413</v>
      </c>
    </row>
    <row r="18" customFormat="false" ht="12" hidden="false" customHeight="false" outlineLevel="0" collapsed="false">
      <c r="B18" s="220" t="n">
        <v>110</v>
      </c>
      <c r="D18" s="222" t="s">
        <v>414</v>
      </c>
      <c r="E18" s="222" t="s">
        <v>415</v>
      </c>
    </row>
    <row r="19" customFormat="false" ht="12" hidden="false" customHeight="false" outlineLevel="0" collapsed="false">
      <c r="B19" s="220" t="n">
        <v>111</v>
      </c>
      <c r="D19" s="222" t="s">
        <v>416</v>
      </c>
      <c r="E19" s="222" t="s">
        <v>417</v>
      </c>
    </row>
    <row r="20" customFormat="false" ht="12" hidden="false" customHeight="false" outlineLevel="0" collapsed="false">
      <c r="A20" s="226"/>
      <c r="B20" s="220" t="n">
        <v>112</v>
      </c>
      <c r="C20" s="227" t="s">
        <v>418</v>
      </c>
      <c r="D20" s="225" t="s">
        <v>419</v>
      </c>
      <c r="E20" s="225" t="s">
        <v>420</v>
      </c>
      <c r="F20" s="228"/>
    </row>
    <row r="21" customFormat="false" ht="12" hidden="false" customHeight="false" outlineLevel="0" collapsed="false">
      <c r="B21" s="220" t="n">
        <v>113</v>
      </c>
      <c r="D21" s="222" t="s">
        <v>421</v>
      </c>
      <c r="E21" s="222" t="s">
        <v>420</v>
      </c>
    </row>
    <row r="22" customFormat="false" ht="12" hidden="false" customHeight="false" outlineLevel="0" collapsed="false">
      <c r="B22" s="220" t="n">
        <v>114</v>
      </c>
      <c r="D22" s="222" t="s">
        <v>422</v>
      </c>
      <c r="E22" s="222" t="s">
        <v>423</v>
      </c>
    </row>
    <row r="23" customFormat="false" ht="12" hidden="false" customHeight="false" outlineLevel="0" collapsed="false">
      <c r="B23" s="220" t="n">
        <v>115</v>
      </c>
      <c r="D23" s="222" t="s">
        <v>424</v>
      </c>
      <c r="E23" s="222" t="s">
        <v>425</v>
      </c>
    </row>
    <row r="24" customFormat="false" ht="24" hidden="false" customHeight="false" outlineLevel="0" collapsed="false">
      <c r="B24" s="220" t="n">
        <v>116</v>
      </c>
      <c r="D24" s="222" t="s">
        <v>426</v>
      </c>
      <c r="E24" s="222" t="s">
        <v>427</v>
      </c>
    </row>
    <row r="25" customFormat="false" ht="12" hidden="false" customHeight="false" outlineLevel="0" collapsed="false">
      <c r="B25" s="220" t="n">
        <v>117</v>
      </c>
      <c r="D25" s="222" t="s">
        <v>428</v>
      </c>
      <c r="E25" s="222" t="s">
        <v>429</v>
      </c>
    </row>
    <row r="26" customFormat="false" ht="12" hidden="false" customHeight="false" outlineLevel="0" collapsed="false">
      <c r="B26" s="220" t="n">
        <v>118</v>
      </c>
      <c r="D26" s="222" t="s">
        <v>430</v>
      </c>
      <c r="E26" s="222" t="s">
        <v>431</v>
      </c>
    </row>
    <row r="27" customFormat="false" ht="24" hidden="false" customHeight="false" outlineLevel="0" collapsed="false">
      <c r="B27" s="220" t="n">
        <v>119</v>
      </c>
      <c r="D27" s="222" t="s">
        <v>432</v>
      </c>
      <c r="E27" s="222" t="s">
        <v>433</v>
      </c>
    </row>
    <row r="28" customFormat="false" ht="12" hidden="false" customHeight="false" outlineLevel="0" collapsed="false">
      <c r="B28" s="220" t="n">
        <v>120</v>
      </c>
      <c r="D28" s="222" t="s">
        <v>434</v>
      </c>
      <c r="E28" s="222" t="s">
        <v>435</v>
      </c>
    </row>
    <row r="29" customFormat="false" ht="12" hidden="false" customHeight="false" outlineLevel="0" collapsed="false">
      <c r="B29" s="220" t="n">
        <v>121</v>
      </c>
      <c r="D29" s="222" t="s">
        <v>436</v>
      </c>
      <c r="E29" s="222" t="s">
        <v>437</v>
      </c>
    </row>
    <row r="30" customFormat="false" ht="12" hidden="false" customHeight="false" outlineLevel="0" collapsed="false">
      <c r="B30" s="220" t="n">
        <v>122</v>
      </c>
      <c r="D30" s="222" t="s">
        <v>438</v>
      </c>
      <c r="E30" s="222" t="s">
        <v>439</v>
      </c>
    </row>
    <row r="31" customFormat="false" ht="12" hidden="false" customHeight="false" outlineLevel="0" collapsed="false">
      <c r="B31" s="220" t="n">
        <v>123</v>
      </c>
      <c r="D31" s="222" t="s">
        <v>440</v>
      </c>
      <c r="E31" s="222" t="s">
        <v>441</v>
      </c>
    </row>
    <row r="32" customFormat="false" ht="12" hidden="false" customHeight="false" outlineLevel="0" collapsed="false">
      <c r="B32" s="220" t="n">
        <v>124</v>
      </c>
      <c r="D32" s="222" t="s">
        <v>442</v>
      </c>
      <c r="E32" s="222" t="s">
        <v>443</v>
      </c>
    </row>
    <row r="33" customFormat="false" ht="12" hidden="false" customHeight="false" outlineLevel="0" collapsed="false">
      <c r="B33" s="220" t="n">
        <v>125</v>
      </c>
      <c r="D33" s="222" t="s">
        <v>444</v>
      </c>
      <c r="E33" s="222" t="s">
        <v>445</v>
      </c>
    </row>
    <row r="34" customFormat="false" ht="12" hidden="false" customHeight="false" outlineLevel="0" collapsed="false">
      <c r="B34" s="220" t="n">
        <v>126</v>
      </c>
      <c r="D34" s="222" t="s">
        <v>446</v>
      </c>
      <c r="E34" s="222" t="s">
        <v>447</v>
      </c>
    </row>
    <row r="35" customFormat="false" ht="24" hidden="false" customHeight="false" outlineLevel="0" collapsed="false">
      <c r="B35" s="220" t="n">
        <v>127</v>
      </c>
      <c r="D35" s="222" t="s">
        <v>448</v>
      </c>
      <c r="E35" s="222" t="s">
        <v>449</v>
      </c>
    </row>
    <row r="36" customFormat="false" ht="12" hidden="false" customHeight="false" outlineLevel="0" collapsed="false">
      <c r="B36" s="220" t="n">
        <v>128</v>
      </c>
      <c r="D36" s="222" t="s">
        <v>450</v>
      </c>
      <c r="E36" s="222" t="s">
        <v>451</v>
      </c>
    </row>
    <row r="37" customFormat="false" ht="12" hidden="false" customHeight="false" outlineLevel="0" collapsed="false">
      <c r="B37" s="220" t="n">
        <v>129</v>
      </c>
      <c r="D37" s="222" t="s">
        <v>452</v>
      </c>
      <c r="E37" s="222" t="s">
        <v>453</v>
      </c>
    </row>
    <row r="38" customFormat="false" ht="12" hidden="false" customHeight="false" outlineLevel="0" collapsed="false">
      <c r="B38" s="220" t="n">
        <v>130</v>
      </c>
      <c r="D38" s="222" t="s">
        <v>454</v>
      </c>
      <c r="E38" s="222" t="s">
        <v>455</v>
      </c>
    </row>
    <row r="39" customFormat="false" ht="12" hidden="false" customHeight="false" outlineLevel="0" collapsed="false">
      <c r="B39" s="220" t="n">
        <v>131</v>
      </c>
      <c r="D39" s="222" t="s">
        <v>456</v>
      </c>
      <c r="E39" s="222" t="s">
        <v>457</v>
      </c>
    </row>
    <row r="40" customFormat="false" ht="12" hidden="false" customHeight="false" outlineLevel="0" collapsed="false">
      <c r="B40" s="220" t="n">
        <v>132</v>
      </c>
      <c r="D40" s="222" t="s">
        <v>458</v>
      </c>
      <c r="E40" s="222" t="s">
        <v>459</v>
      </c>
    </row>
    <row r="41" customFormat="false" ht="12" hidden="false" customHeight="false" outlineLevel="0" collapsed="false">
      <c r="B41" s="220" t="n">
        <v>133</v>
      </c>
      <c r="D41" s="222" t="s">
        <v>460</v>
      </c>
      <c r="E41" s="222" t="s">
        <v>461</v>
      </c>
    </row>
    <row r="42" customFormat="false" ht="12" hidden="false" customHeight="false" outlineLevel="0" collapsed="false">
      <c r="B42" s="220" t="n">
        <v>134</v>
      </c>
      <c r="D42" s="225" t="s">
        <v>462</v>
      </c>
      <c r="E42" s="229" t="n">
        <v>43435</v>
      </c>
    </row>
    <row r="43" customFormat="false" ht="12" hidden="false" customHeight="false" outlineLevel="0" collapsed="false">
      <c r="B43" s="220" t="n">
        <v>135</v>
      </c>
      <c r="D43" s="225" t="s">
        <v>462</v>
      </c>
      <c r="E43" s="229" t="n">
        <v>43435</v>
      </c>
    </row>
    <row r="44" customFormat="false" ht="12" hidden="false" customHeight="false" outlineLevel="0" collapsed="false">
      <c r="B44" s="220" t="n">
        <v>136</v>
      </c>
      <c r="D44" s="225" t="s">
        <v>463</v>
      </c>
      <c r="E44" s="229" t="n">
        <v>43465</v>
      </c>
    </row>
    <row r="45" customFormat="false" ht="12" hidden="false" customHeight="false" outlineLevel="0" collapsed="false">
      <c r="B45" s="220" t="n">
        <v>137</v>
      </c>
      <c r="D45" s="225" t="s">
        <v>463</v>
      </c>
      <c r="E45" s="229" t="n">
        <v>43465</v>
      </c>
    </row>
    <row r="46" customFormat="false" ht="12" hidden="false" customHeight="false" outlineLevel="0" collapsed="false">
      <c r="B46" s="220" t="n">
        <v>138</v>
      </c>
      <c r="D46" s="222" t="s">
        <v>464</v>
      </c>
      <c r="E46" s="222" t="s">
        <v>464</v>
      </c>
    </row>
    <row r="47" customFormat="false" ht="12" hidden="false" customHeight="false" outlineLevel="0" collapsed="false">
      <c r="B47" s="220" t="n">
        <v>139</v>
      </c>
      <c r="D47" s="222" t="s">
        <v>465</v>
      </c>
      <c r="E47" s="222" t="s">
        <v>466</v>
      </c>
    </row>
    <row r="48" customFormat="false" ht="12" hidden="false" customHeight="false" outlineLevel="0" collapsed="false">
      <c r="B48" s="220" t="n">
        <v>140</v>
      </c>
      <c r="D48" s="222" t="s">
        <v>467</v>
      </c>
      <c r="E48" s="222" t="s">
        <v>468</v>
      </c>
    </row>
    <row r="49" customFormat="false" ht="12" hidden="false" customHeight="false" outlineLevel="0" collapsed="false">
      <c r="B49" s="220" t="n">
        <v>141</v>
      </c>
      <c r="D49" s="222" t="s">
        <v>469</v>
      </c>
      <c r="E49" s="222" t="s">
        <v>470</v>
      </c>
    </row>
    <row r="50" customFormat="false" ht="12" hidden="false" customHeight="false" outlineLevel="0" collapsed="false">
      <c r="B50" s="220" t="n">
        <v>142</v>
      </c>
      <c r="C50" s="221" t="s">
        <v>471</v>
      </c>
      <c r="D50" s="222" t="s">
        <v>472</v>
      </c>
      <c r="E50" s="222" t="s">
        <v>420</v>
      </c>
    </row>
    <row r="51" customFormat="false" ht="12" hidden="false" customHeight="false" outlineLevel="0" collapsed="false">
      <c r="B51" s="220" t="n">
        <v>143</v>
      </c>
      <c r="D51" s="222" t="s">
        <v>473</v>
      </c>
      <c r="E51" s="222" t="s">
        <v>474</v>
      </c>
    </row>
    <row r="52" customFormat="false" ht="12" hidden="false" customHeight="false" outlineLevel="0" collapsed="false">
      <c r="B52" s="220" t="n">
        <v>144</v>
      </c>
      <c r="D52" s="222" t="s">
        <v>475</v>
      </c>
      <c r="E52" s="222" t="s">
        <v>476</v>
      </c>
    </row>
    <row r="53" customFormat="false" ht="12" hidden="false" customHeight="false" outlineLevel="0" collapsed="false">
      <c r="B53" s="220" t="n">
        <v>145</v>
      </c>
      <c r="D53" s="222" t="s">
        <v>477</v>
      </c>
      <c r="E53" s="222" t="s">
        <v>478</v>
      </c>
    </row>
    <row r="54" customFormat="false" ht="12" hidden="false" customHeight="false" outlineLevel="0" collapsed="false">
      <c r="B54" s="220" t="n">
        <v>146</v>
      </c>
      <c r="D54" s="222" t="s">
        <v>479</v>
      </c>
      <c r="E54" s="222" t="s">
        <v>480</v>
      </c>
    </row>
    <row r="55" customFormat="false" ht="12" hidden="false" customHeight="false" outlineLevel="0" collapsed="false">
      <c r="B55" s="220" t="n">
        <v>147</v>
      </c>
      <c r="D55" s="222" t="s">
        <v>481</v>
      </c>
      <c r="E55" s="222" t="s">
        <v>482</v>
      </c>
    </row>
    <row r="56" customFormat="false" ht="12" hidden="false" customHeight="false" outlineLevel="0" collapsed="false">
      <c r="B56" s="220" t="n">
        <v>148</v>
      </c>
      <c r="D56" s="222" t="s">
        <v>483</v>
      </c>
      <c r="E56" s="222" t="s">
        <v>484</v>
      </c>
    </row>
    <row r="57" customFormat="false" ht="12" hidden="false" customHeight="false" outlineLevel="0" collapsed="false">
      <c r="B57" s="220" t="n">
        <v>149</v>
      </c>
      <c r="D57" s="222" t="s">
        <v>485</v>
      </c>
      <c r="E57" s="222" t="s">
        <v>486</v>
      </c>
    </row>
    <row r="58" customFormat="false" ht="12" hidden="false" customHeight="false" outlineLevel="0" collapsed="false">
      <c r="B58" s="220" t="n">
        <v>150</v>
      </c>
      <c r="D58" s="222" t="s">
        <v>487</v>
      </c>
      <c r="E58" s="222" t="s">
        <v>488</v>
      </c>
    </row>
    <row r="59" customFormat="false" ht="12" hidden="false" customHeight="false" outlineLevel="0" collapsed="false">
      <c r="B59" s="220" t="n">
        <v>151</v>
      </c>
      <c r="D59" s="222" t="s">
        <v>489</v>
      </c>
      <c r="E59" s="222" t="s">
        <v>490</v>
      </c>
    </row>
    <row r="60" customFormat="false" ht="12" hidden="false" customHeight="false" outlineLevel="0" collapsed="false">
      <c r="B60" s="220" t="n">
        <v>152</v>
      </c>
      <c r="D60" s="222" t="s">
        <v>491</v>
      </c>
      <c r="E60" s="222" t="s">
        <v>492</v>
      </c>
    </row>
    <row r="61" customFormat="false" ht="12" hidden="false" customHeight="false" outlineLevel="0" collapsed="false">
      <c r="B61" s="220" t="n">
        <v>153</v>
      </c>
      <c r="D61" s="222" t="s">
        <v>493</v>
      </c>
      <c r="E61" s="222" t="s">
        <v>494</v>
      </c>
    </row>
    <row r="62" customFormat="false" ht="12" hidden="false" customHeight="false" outlineLevel="0" collapsed="false">
      <c r="B62" s="220" t="n">
        <v>154</v>
      </c>
      <c r="D62" s="222" t="s">
        <v>495</v>
      </c>
      <c r="E62" s="222" t="s">
        <v>496</v>
      </c>
    </row>
    <row r="63" customFormat="false" ht="12" hidden="false" customHeight="false" outlineLevel="0" collapsed="false">
      <c r="B63" s="220" t="n">
        <v>155</v>
      </c>
      <c r="D63" s="222" t="s">
        <v>497</v>
      </c>
      <c r="E63" s="222" t="s">
        <v>498</v>
      </c>
    </row>
    <row r="64" customFormat="false" ht="12" hidden="false" customHeight="false" outlineLevel="0" collapsed="false">
      <c r="B64" s="220" t="n">
        <v>156</v>
      </c>
      <c r="D64" s="222" t="s">
        <v>499</v>
      </c>
      <c r="E64" s="222" t="s">
        <v>500</v>
      </c>
    </row>
    <row r="65" customFormat="false" ht="12" hidden="false" customHeight="false" outlineLevel="0" collapsed="false">
      <c r="A65" s="230"/>
      <c r="B65" s="220" t="n">
        <v>157</v>
      </c>
      <c r="C65" s="227" t="s">
        <v>418</v>
      </c>
      <c r="D65" s="225" t="s">
        <v>501</v>
      </c>
      <c r="E65" s="225" t="s">
        <v>502</v>
      </c>
      <c r="F65" s="228"/>
    </row>
    <row r="66" customFormat="false" ht="12" hidden="false" customHeight="false" outlineLevel="0" collapsed="false">
      <c r="B66" s="220" t="n">
        <v>158</v>
      </c>
      <c r="D66" s="222" t="s">
        <v>503</v>
      </c>
      <c r="E66" s="225" t="s">
        <v>504</v>
      </c>
    </row>
    <row r="67" customFormat="false" ht="12" hidden="false" customHeight="false" outlineLevel="0" collapsed="false">
      <c r="B67" s="220" t="n">
        <v>159</v>
      </c>
      <c r="D67" s="222" t="s">
        <v>505</v>
      </c>
      <c r="E67" s="225" t="s">
        <v>506</v>
      </c>
    </row>
    <row r="68" customFormat="false" ht="12" hidden="false" customHeight="false" outlineLevel="0" collapsed="false">
      <c r="A68" s="230"/>
      <c r="B68" s="220" t="n">
        <v>160</v>
      </c>
      <c r="C68" s="227" t="s">
        <v>418</v>
      </c>
      <c r="D68" s="225" t="s">
        <v>507</v>
      </c>
      <c r="E68" s="225" t="s">
        <v>508</v>
      </c>
      <c r="F68" s="228"/>
    </row>
    <row r="69" customFormat="false" ht="12" hidden="false" customHeight="false" outlineLevel="0" collapsed="false">
      <c r="A69" s="230"/>
      <c r="B69" s="220" t="n">
        <v>161</v>
      </c>
      <c r="C69" s="227" t="s">
        <v>418</v>
      </c>
      <c r="D69" s="225" t="s">
        <v>509</v>
      </c>
      <c r="E69" s="225" t="s">
        <v>510</v>
      </c>
      <c r="F69" s="228"/>
    </row>
    <row r="70" customFormat="false" ht="12" hidden="false" customHeight="false" outlineLevel="0" collapsed="false">
      <c r="A70" s="230"/>
      <c r="B70" s="220" t="n">
        <v>162</v>
      </c>
      <c r="C70" s="227" t="s">
        <v>418</v>
      </c>
      <c r="D70" s="225" t="s">
        <v>511</v>
      </c>
      <c r="E70" s="225" t="s">
        <v>512</v>
      </c>
      <c r="F70" s="228"/>
    </row>
    <row r="71" customFormat="false" ht="12" hidden="false" customHeight="false" outlineLevel="0" collapsed="false">
      <c r="A71" s="230"/>
      <c r="B71" s="220" t="n">
        <v>163</v>
      </c>
      <c r="C71" s="227" t="s">
        <v>418</v>
      </c>
      <c r="D71" s="225" t="s">
        <v>513</v>
      </c>
      <c r="E71" s="225" t="s">
        <v>514</v>
      </c>
      <c r="F71" s="228"/>
    </row>
    <row r="72" customFormat="false" ht="12" hidden="false" customHeight="false" outlineLevel="0" collapsed="false">
      <c r="B72" s="220" t="n">
        <v>164</v>
      </c>
      <c r="D72" s="222" t="s">
        <v>515</v>
      </c>
      <c r="E72" s="222" t="s">
        <v>516</v>
      </c>
    </row>
    <row r="73" customFormat="false" ht="12" hidden="false" customHeight="false" outlineLevel="0" collapsed="false">
      <c r="B73" s="220" t="n">
        <v>165</v>
      </c>
      <c r="D73" s="222" t="s">
        <v>517</v>
      </c>
      <c r="E73" s="222" t="s">
        <v>518</v>
      </c>
    </row>
    <row r="74" customFormat="false" ht="12" hidden="false" customHeight="false" outlineLevel="0" collapsed="false">
      <c r="B74" s="220" t="n">
        <v>166</v>
      </c>
      <c r="D74" s="222" t="s">
        <v>519</v>
      </c>
      <c r="E74" s="222" t="s">
        <v>520</v>
      </c>
    </row>
    <row r="75" customFormat="false" ht="12" hidden="false" customHeight="false" outlineLevel="0" collapsed="false">
      <c r="B75" s="220" t="n">
        <v>167</v>
      </c>
      <c r="D75" s="222" t="s">
        <v>521</v>
      </c>
      <c r="E75" s="222" t="s">
        <v>504</v>
      </c>
    </row>
    <row r="76" customFormat="false" ht="12" hidden="false" customHeight="false" outlineLevel="0" collapsed="false">
      <c r="B76" s="220" t="n">
        <v>168</v>
      </c>
      <c r="D76" s="222" t="s">
        <v>522</v>
      </c>
      <c r="E76" s="222" t="s">
        <v>523</v>
      </c>
    </row>
    <row r="77" customFormat="false" ht="12" hidden="false" customHeight="false" outlineLevel="0" collapsed="false">
      <c r="B77" s="220" t="n">
        <v>169</v>
      </c>
      <c r="D77" s="222" t="s">
        <v>524</v>
      </c>
      <c r="E77" s="222" t="s">
        <v>322</v>
      </c>
    </row>
    <row r="78" customFormat="false" ht="12" hidden="false" customHeight="false" outlineLevel="0" collapsed="false">
      <c r="B78" s="220" t="n">
        <v>170</v>
      </c>
      <c r="D78" s="222" t="s">
        <v>525</v>
      </c>
      <c r="E78" s="222" t="s">
        <v>323</v>
      </c>
    </row>
    <row r="79" customFormat="false" ht="24" hidden="false" customHeight="false" outlineLevel="0" collapsed="false">
      <c r="B79" s="220" t="n">
        <v>171</v>
      </c>
      <c r="D79" s="222" t="s">
        <v>526</v>
      </c>
      <c r="E79" s="222" t="s">
        <v>527</v>
      </c>
    </row>
    <row r="80" customFormat="false" ht="12" hidden="false" customHeight="false" outlineLevel="0" collapsed="false">
      <c r="B80" s="220" t="n">
        <v>172</v>
      </c>
      <c r="D80" s="222" t="s">
        <v>528</v>
      </c>
      <c r="E80" s="222" t="s">
        <v>529</v>
      </c>
    </row>
    <row r="81" customFormat="false" ht="12" hidden="false" customHeight="false" outlineLevel="0" collapsed="false">
      <c r="B81" s="220" t="n">
        <v>173</v>
      </c>
      <c r="D81" s="222" t="s">
        <v>530</v>
      </c>
      <c r="E81" s="222" t="s">
        <v>531</v>
      </c>
    </row>
    <row r="82" customFormat="false" ht="12" hidden="false" customHeight="false" outlineLevel="0" collapsed="false">
      <c r="B82" s="220" t="n">
        <v>174</v>
      </c>
      <c r="D82" s="222" t="s">
        <v>532</v>
      </c>
      <c r="E82" s="222" t="s">
        <v>533</v>
      </c>
    </row>
    <row r="83" customFormat="false" ht="12" hidden="false" customHeight="false" outlineLevel="0" collapsed="false">
      <c r="B83" s="220" t="n">
        <v>175</v>
      </c>
      <c r="D83" s="222" t="s">
        <v>534</v>
      </c>
      <c r="E83" s="222" t="s">
        <v>535</v>
      </c>
    </row>
    <row r="84" customFormat="false" ht="12" hidden="false" customHeight="false" outlineLevel="0" collapsed="false">
      <c r="B84" s="220" t="n">
        <v>176</v>
      </c>
      <c r="D84" s="222" t="s">
        <v>536</v>
      </c>
      <c r="E84" s="222" t="s">
        <v>537</v>
      </c>
    </row>
    <row r="85" customFormat="false" ht="12" hidden="false" customHeight="false" outlineLevel="0" collapsed="false">
      <c r="B85" s="220" t="n">
        <v>177</v>
      </c>
      <c r="D85" s="222" t="s">
        <v>538</v>
      </c>
      <c r="E85" s="222" t="s">
        <v>539</v>
      </c>
    </row>
    <row r="86" customFormat="false" ht="12" hidden="false" customHeight="false" outlineLevel="0" collapsed="false">
      <c r="B86" s="220" t="n">
        <v>178</v>
      </c>
      <c r="D86" s="222" t="s">
        <v>540</v>
      </c>
      <c r="E86" s="222" t="s">
        <v>541</v>
      </c>
    </row>
    <row r="87" customFormat="false" ht="12" hidden="false" customHeight="false" outlineLevel="0" collapsed="false">
      <c r="B87" s="220" t="n">
        <v>179</v>
      </c>
      <c r="D87" s="222" t="s">
        <v>542</v>
      </c>
      <c r="E87" s="222" t="s">
        <v>543</v>
      </c>
    </row>
    <row r="88" customFormat="false" ht="12" hidden="false" customHeight="false" outlineLevel="0" collapsed="false">
      <c r="B88" s="220" t="n">
        <v>180</v>
      </c>
      <c r="D88" s="222" t="s">
        <v>544</v>
      </c>
      <c r="E88" s="222" t="s">
        <v>545</v>
      </c>
    </row>
    <row r="89" customFormat="false" ht="12" hidden="false" customHeight="false" outlineLevel="0" collapsed="false">
      <c r="B89" s="220" t="n">
        <v>181</v>
      </c>
      <c r="D89" s="222" t="s">
        <v>546</v>
      </c>
      <c r="E89" s="222" t="s">
        <v>241</v>
      </c>
    </row>
    <row r="90" customFormat="false" ht="12" hidden="false" customHeight="false" outlineLevel="0" collapsed="false">
      <c r="B90" s="220" t="n">
        <v>182</v>
      </c>
      <c r="D90" s="222" t="s">
        <v>547</v>
      </c>
      <c r="E90" s="222" t="s">
        <v>73</v>
      </c>
    </row>
    <row r="91" customFormat="false" ht="12" hidden="false" customHeight="false" outlineLevel="0" collapsed="false">
      <c r="B91" s="220" t="n">
        <v>183</v>
      </c>
      <c r="D91" s="222" t="s">
        <v>548</v>
      </c>
      <c r="E91" s="222" t="s">
        <v>549</v>
      </c>
    </row>
    <row r="92" customFormat="false" ht="12" hidden="false" customHeight="false" outlineLevel="0" collapsed="false">
      <c r="B92" s="220" t="n">
        <v>184</v>
      </c>
      <c r="D92" s="222" t="s">
        <v>550</v>
      </c>
      <c r="E92" s="222" t="s">
        <v>551</v>
      </c>
    </row>
    <row r="93" customFormat="false" ht="24" hidden="false" customHeight="false" outlineLevel="0" collapsed="false">
      <c r="B93" s="220" t="n">
        <v>185</v>
      </c>
      <c r="D93" s="222" t="s">
        <v>552</v>
      </c>
      <c r="E93" s="222" t="s">
        <v>553</v>
      </c>
    </row>
    <row r="94" customFormat="false" ht="24" hidden="false" customHeight="false" outlineLevel="0" collapsed="false">
      <c r="B94" s="220" t="n">
        <v>186</v>
      </c>
      <c r="D94" s="222" t="s">
        <v>554</v>
      </c>
      <c r="E94" s="222" t="s">
        <v>555</v>
      </c>
    </row>
    <row r="95" customFormat="false" ht="12" hidden="false" customHeight="false" outlineLevel="0" collapsed="false">
      <c r="B95" s="220" t="n">
        <v>187</v>
      </c>
      <c r="D95" s="222" t="s">
        <v>556</v>
      </c>
      <c r="E95" s="222" t="s">
        <v>557</v>
      </c>
    </row>
    <row r="96" customFormat="false" ht="12" hidden="false" customHeight="false" outlineLevel="0" collapsed="false">
      <c r="B96" s="220" t="n">
        <v>188</v>
      </c>
      <c r="D96" s="222" t="s">
        <v>558</v>
      </c>
      <c r="E96" s="222" t="s">
        <v>559</v>
      </c>
    </row>
    <row r="97" customFormat="false" ht="12" hidden="false" customHeight="false" outlineLevel="0" collapsed="false">
      <c r="B97" s="220" t="n">
        <v>189</v>
      </c>
      <c r="D97" s="222" t="s">
        <v>560</v>
      </c>
      <c r="E97" s="222" t="s">
        <v>561</v>
      </c>
    </row>
    <row r="98" customFormat="false" ht="12" hidden="false" customHeight="false" outlineLevel="0" collapsed="false">
      <c r="B98" s="220" t="n">
        <v>190</v>
      </c>
      <c r="D98" s="222" t="s">
        <v>562</v>
      </c>
      <c r="E98" s="222" t="s">
        <v>190</v>
      </c>
    </row>
    <row r="99" customFormat="false" ht="12" hidden="false" customHeight="false" outlineLevel="0" collapsed="false">
      <c r="B99" s="220" t="n">
        <v>191</v>
      </c>
      <c r="D99" s="222" t="s">
        <v>563</v>
      </c>
      <c r="E99" s="222" t="s">
        <v>564</v>
      </c>
    </row>
    <row r="100" customFormat="false" ht="24" hidden="false" customHeight="false" outlineLevel="0" collapsed="false">
      <c r="B100" s="220" t="n">
        <v>192</v>
      </c>
      <c r="D100" s="222" t="s">
        <v>565</v>
      </c>
      <c r="E100" s="222" t="s">
        <v>566</v>
      </c>
    </row>
    <row r="101" customFormat="false" ht="24" hidden="false" customHeight="false" outlineLevel="0" collapsed="false">
      <c r="B101" s="220" t="n">
        <v>193</v>
      </c>
      <c r="D101" s="222" t="s">
        <v>567</v>
      </c>
      <c r="E101" s="222" t="s">
        <v>568</v>
      </c>
    </row>
    <row r="102" customFormat="false" ht="12" hidden="false" customHeight="false" outlineLevel="0" collapsed="false">
      <c r="B102" s="220" t="n">
        <v>194</v>
      </c>
      <c r="D102" s="222" t="s">
        <v>133</v>
      </c>
      <c r="E102" s="222" t="s">
        <v>133</v>
      </c>
    </row>
    <row r="103" customFormat="false" ht="12" hidden="false" customHeight="false" outlineLevel="0" collapsed="false">
      <c r="B103" s="220" t="n">
        <v>195</v>
      </c>
      <c r="D103" s="222" t="s">
        <v>569</v>
      </c>
      <c r="E103" s="222" t="s">
        <v>570</v>
      </c>
    </row>
    <row r="104" customFormat="false" ht="12" hidden="false" customHeight="false" outlineLevel="0" collapsed="false">
      <c r="B104" s="220" t="n">
        <v>196</v>
      </c>
      <c r="D104" s="222" t="s">
        <v>571</v>
      </c>
      <c r="E104" s="222" t="s">
        <v>572</v>
      </c>
    </row>
    <row r="105" customFormat="false" ht="12" hidden="false" customHeight="false" outlineLevel="0" collapsed="false">
      <c r="B105" s="220" t="n">
        <v>197</v>
      </c>
      <c r="D105" s="222" t="s">
        <v>573</v>
      </c>
      <c r="E105" s="222" t="s">
        <v>574</v>
      </c>
    </row>
    <row r="106" customFormat="false" ht="12" hidden="false" customHeight="false" outlineLevel="0" collapsed="false">
      <c r="B106" s="220" t="n">
        <v>198</v>
      </c>
      <c r="D106" s="222" t="s">
        <v>575</v>
      </c>
      <c r="E106" s="222" t="s">
        <v>576</v>
      </c>
    </row>
    <row r="107" customFormat="false" ht="12" hidden="false" customHeight="false" outlineLevel="0" collapsed="false">
      <c r="B107" s="220" t="n">
        <v>199</v>
      </c>
      <c r="D107" s="222" t="s">
        <v>577</v>
      </c>
      <c r="E107" s="222" t="s">
        <v>578</v>
      </c>
    </row>
    <row r="108" customFormat="false" ht="12" hidden="false" customHeight="false" outlineLevel="0" collapsed="false">
      <c r="B108" s="220" t="n">
        <v>200</v>
      </c>
      <c r="D108" s="222" t="s">
        <v>579</v>
      </c>
      <c r="E108" s="222" t="s">
        <v>580</v>
      </c>
    </row>
    <row r="109" customFormat="false" ht="12" hidden="false" customHeight="false" outlineLevel="0" collapsed="false">
      <c r="B109" s="220" t="n">
        <v>201</v>
      </c>
      <c r="D109" s="222" t="s">
        <v>581</v>
      </c>
      <c r="E109" s="222" t="s">
        <v>582</v>
      </c>
    </row>
    <row r="110" customFormat="false" ht="12" hidden="false" customHeight="false" outlineLevel="0" collapsed="false">
      <c r="B110" s="220" t="n">
        <v>202</v>
      </c>
      <c r="D110" s="222" t="s">
        <v>583</v>
      </c>
      <c r="E110" s="222" t="s">
        <v>584</v>
      </c>
    </row>
    <row r="111" customFormat="false" ht="12" hidden="false" customHeight="false" outlineLevel="0" collapsed="false">
      <c r="B111" s="220" t="n">
        <v>203</v>
      </c>
      <c r="D111" s="222" t="s">
        <v>585</v>
      </c>
      <c r="E111" s="222" t="s">
        <v>586</v>
      </c>
    </row>
    <row r="112" customFormat="false" ht="12" hidden="false" customHeight="false" outlineLevel="0" collapsed="false">
      <c r="B112" s="220" t="n">
        <v>204</v>
      </c>
      <c r="D112" s="222" t="s">
        <v>587</v>
      </c>
      <c r="E112" s="222" t="s">
        <v>588</v>
      </c>
    </row>
    <row r="113" customFormat="false" ht="12" hidden="false" customHeight="false" outlineLevel="0" collapsed="false">
      <c r="B113" s="220" t="n">
        <v>205</v>
      </c>
      <c r="D113" s="222" t="s">
        <v>589</v>
      </c>
      <c r="E113" s="222" t="s">
        <v>590</v>
      </c>
    </row>
    <row r="114" customFormat="false" ht="12" hidden="false" customHeight="false" outlineLevel="0" collapsed="false">
      <c r="B114" s="220" t="n">
        <v>206</v>
      </c>
      <c r="D114" s="222" t="s">
        <v>591</v>
      </c>
      <c r="E114" s="222" t="s">
        <v>592</v>
      </c>
    </row>
    <row r="115" customFormat="false" ht="12" hidden="false" customHeight="false" outlineLevel="0" collapsed="false">
      <c r="B115" s="220" t="n">
        <v>207</v>
      </c>
      <c r="D115" s="222" t="s">
        <v>593</v>
      </c>
      <c r="E115" s="222" t="s">
        <v>594</v>
      </c>
    </row>
    <row r="116" customFormat="false" ht="12" hidden="false" customHeight="false" outlineLevel="0" collapsed="false">
      <c r="B116" s="220" t="n">
        <v>208</v>
      </c>
      <c r="D116" s="222" t="s">
        <v>595</v>
      </c>
      <c r="E116" s="222" t="s">
        <v>596</v>
      </c>
    </row>
    <row r="117" customFormat="false" ht="12" hidden="false" customHeight="false" outlineLevel="0" collapsed="false">
      <c r="B117" s="220" t="n">
        <v>209</v>
      </c>
      <c r="D117" s="222" t="s">
        <v>597</v>
      </c>
      <c r="E117" s="222" t="s">
        <v>598</v>
      </c>
    </row>
    <row r="118" customFormat="false" ht="12" hidden="false" customHeight="false" outlineLevel="0" collapsed="false">
      <c r="B118" s="220" t="n">
        <v>210</v>
      </c>
      <c r="D118" s="222" t="s">
        <v>599</v>
      </c>
      <c r="E118" s="222" t="s">
        <v>600</v>
      </c>
    </row>
    <row r="119" customFormat="false" ht="12" hidden="false" customHeight="false" outlineLevel="0" collapsed="false">
      <c r="B119" s="220" t="n">
        <v>211</v>
      </c>
      <c r="D119" s="222" t="s">
        <v>601</v>
      </c>
      <c r="E119" s="222" t="s">
        <v>602</v>
      </c>
    </row>
    <row r="120" customFormat="false" ht="12" hidden="false" customHeight="false" outlineLevel="0" collapsed="false">
      <c r="B120" s="220" t="n">
        <v>212</v>
      </c>
      <c r="D120" s="222" t="s">
        <v>603</v>
      </c>
      <c r="E120" s="222" t="s">
        <v>604</v>
      </c>
    </row>
    <row r="121" customFormat="false" ht="12" hidden="false" customHeight="false" outlineLevel="0" collapsed="false">
      <c r="B121" s="220" t="n">
        <v>213</v>
      </c>
      <c r="D121" s="222" t="s">
        <v>605</v>
      </c>
      <c r="E121" s="222" t="s">
        <v>606</v>
      </c>
    </row>
    <row r="122" customFormat="false" ht="12" hidden="false" customHeight="false" outlineLevel="0" collapsed="false">
      <c r="B122" s="220" t="n">
        <v>214</v>
      </c>
      <c r="D122" s="222" t="s">
        <v>607</v>
      </c>
      <c r="E122" s="222" t="s">
        <v>608</v>
      </c>
    </row>
    <row r="123" customFormat="false" ht="12" hidden="false" customHeight="false" outlineLevel="0" collapsed="false">
      <c r="B123" s="220" t="n">
        <v>215</v>
      </c>
      <c r="D123" s="222" t="s">
        <v>609</v>
      </c>
      <c r="E123" s="222" t="s">
        <v>191</v>
      </c>
    </row>
    <row r="124" customFormat="false" ht="12" hidden="false" customHeight="false" outlineLevel="0" collapsed="false">
      <c r="B124" s="220" t="n">
        <v>216</v>
      </c>
      <c r="D124" s="222" t="s">
        <v>610</v>
      </c>
      <c r="E124" s="222" t="s">
        <v>611</v>
      </c>
    </row>
    <row r="125" customFormat="false" ht="12" hidden="false" customHeight="false" outlineLevel="0" collapsed="false">
      <c r="B125" s="220" t="n">
        <v>217</v>
      </c>
      <c r="D125" s="222" t="s">
        <v>612</v>
      </c>
      <c r="E125" s="222" t="s">
        <v>613</v>
      </c>
    </row>
    <row r="126" customFormat="false" ht="12" hidden="false" customHeight="false" outlineLevel="0" collapsed="false">
      <c r="B126" s="220" t="n">
        <v>218</v>
      </c>
      <c r="D126" s="222" t="s">
        <v>614</v>
      </c>
      <c r="E126" s="222" t="s">
        <v>615</v>
      </c>
    </row>
    <row r="127" customFormat="false" ht="12" hidden="false" customHeight="false" outlineLevel="0" collapsed="false">
      <c r="B127" s="220" t="n">
        <v>219</v>
      </c>
      <c r="D127" s="222" t="s">
        <v>616</v>
      </c>
      <c r="E127" s="222" t="s">
        <v>617</v>
      </c>
    </row>
    <row r="128" customFormat="false" ht="12" hidden="false" customHeight="false" outlineLevel="0" collapsed="false">
      <c r="B128" s="220" t="n">
        <v>220</v>
      </c>
      <c r="D128" s="222" t="s">
        <v>618</v>
      </c>
      <c r="E128" s="222" t="s">
        <v>619</v>
      </c>
    </row>
    <row r="129" customFormat="false" ht="12" hidden="false" customHeight="false" outlineLevel="0" collapsed="false">
      <c r="B129" s="220" t="n">
        <v>221</v>
      </c>
      <c r="D129" s="222" t="s">
        <v>620</v>
      </c>
      <c r="E129" s="222" t="s">
        <v>621</v>
      </c>
    </row>
    <row r="130" customFormat="false" ht="12" hidden="false" customHeight="false" outlineLevel="0" collapsed="false">
      <c r="B130" s="220" t="n">
        <v>222</v>
      </c>
      <c r="D130" s="222" t="s">
        <v>622</v>
      </c>
      <c r="E130" s="222" t="s">
        <v>623</v>
      </c>
    </row>
    <row r="131" customFormat="false" ht="12" hidden="false" customHeight="false" outlineLevel="0" collapsed="false">
      <c r="B131" s="220" t="n">
        <v>223</v>
      </c>
      <c r="D131" s="222" t="s">
        <v>624</v>
      </c>
      <c r="E131" s="222" t="s">
        <v>625</v>
      </c>
    </row>
    <row r="132" customFormat="false" ht="12" hidden="false" customHeight="false" outlineLevel="0" collapsed="false">
      <c r="B132" s="220" t="n">
        <v>224</v>
      </c>
      <c r="D132" s="222" t="s">
        <v>626</v>
      </c>
      <c r="E132" s="222" t="s">
        <v>627</v>
      </c>
    </row>
    <row r="133" customFormat="false" ht="12" hidden="false" customHeight="false" outlineLevel="0" collapsed="false">
      <c r="B133" s="220" t="n">
        <v>225</v>
      </c>
      <c r="D133" s="222" t="s">
        <v>628</v>
      </c>
      <c r="E133" s="222" t="s">
        <v>629</v>
      </c>
    </row>
    <row r="134" customFormat="false" ht="12" hidden="false" customHeight="false" outlineLevel="0" collapsed="false">
      <c r="B134" s="220" t="n">
        <v>226</v>
      </c>
      <c r="D134" s="222" t="s">
        <v>630</v>
      </c>
      <c r="E134" s="222" t="s">
        <v>631</v>
      </c>
    </row>
    <row r="135" customFormat="false" ht="12" hidden="false" customHeight="false" outlineLevel="0" collapsed="false">
      <c r="B135" s="220" t="n">
        <v>227</v>
      </c>
      <c r="D135" s="222" t="s">
        <v>632</v>
      </c>
      <c r="E135" s="222" t="s">
        <v>633</v>
      </c>
    </row>
    <row r="136" customFormat="false" ht="12" hidden="false" customHeight="false" outlineLevel="0" collapsed="false">
      <c r="B136" s="220" t="n">
        <v>228</v>
      </c>
      <c r="D136" s="222" t="s">
        <v>634</v>
      </c>
      <c r="E136" s="222" t="s">
        <v>635</v>
      </c>
    </row>
    <row r="137" customFormat="false" ht="12" hidden="false" customHeight="false" outlineLevel="0" collapsed="false">
      <c r="B137" s="220" t="n">
        <v>229</v>
      </c>
      <c r="D137" s="222" t="s">
        <v>636</v>
      </c>
      <c r="E137" s="222" t="s">
        <v>637</v>
      </c>
    </row>
    <row r="138" customFormat="false" ht="12" hidden="false" customHeight="false" outlineLevel="0" collapsed="false">
      <c r="B138" s="220" t="n">
        <v>230</v>
      </c>
      <c r="D138" s="222" t="s">
        <v>638</v>
      </c>
      <c r="E138" s="222" t="s">
        <v>639</v>
      </c>
    </row>
    <row r="139" customFormat="false" ht="12" hidden="false" customHeight="false" outlineLevel="0" collapsed="false">
      <c r="B139" s="220" t="n">
        <v>231</v>
      </c>
      <c r="D139" s="222" t="s">
        <v>640</v>
      </c>
      <c r="E139" s="222" t="s">
        <v>641</v>
      </c>
    </row>
    <row r="140" customFormat="false" ht="12" hidden="false" customHeight="false" outlineLevel="0" collapsed="false">
      <c r="B140" s="220" t="n">
        <v>232</v>
      </c>
      <c r="D140" s="222" t="s">
        <v>642</v>
      </c>
      <c r="E140" s="222" t="s">
        <v>643</v>
      </c>
    </row>
    <row r="141" customFormat="false" ht="12" hidden="false" customHeight="false" outlineLevel="0" collapsed="false">
      <c r="B141" s="220" t="n">
        <v>233</v>
      </c>
      <c r="D141" s="222" t="s">
        <v>644</v>
      </c>
      <c r="E141" s="222" t="s">
        <v>645</v>
      </c>
    </row>
    <row r="142" customFormat="false" ht="12" hidden="false" customHeight="false" outlineLevel="0" collapsed="false">
      <c r="B142" s="220" t="n">
        <v>234</v>
      </c>
      <c r="D142" s="222" t="s">
        <v>646</v>
      </c>
      <c r="E142" s="222" t="s">
        <v>647</v>
      </c>
    </row>
    <row r="143" customFormat="false" ht="12" hidden="false" customHeight="false" outlineLevel="0" collapsed="false">
      <c r="B143" s="220" t="n">
        <v>235</v>
      </c>
      <c r="D143" s="222" t="s">
        <v>648</v>
      </c>
      <c r="E143" s="222" t="s">
        <v>649</v>
      </c>
    </row>
    <row r="144" customFormat="false" ht="12" hidden="false" customHeight="false" outlineLevel="0" collapsed="false">
      <c r="B144" s="220" t="n">
        <v>236</v>
      </c>
      <c r="D144" s="222" t="s">
        <v>650</v>
      </c>
      <c r="E144" s="222" t="s">
        <v>651</v>
      </c>
    </row>
    <row r="145" customFormat="false" ht="36" hidden="false" customHeight="false" outlineLevel="0" collapsed="false">
      <c r="B145" s="220" t="n">
        <v>237</v>
      </c>
      <c r="D145" s="222" t="s">
        <v>652</v>
      </c>
      <c r="E145" s="222" t="s">
        <v>653</v>
      </c>
    </row>
    <row r="146" customFormat="false" ht="12" hidden="false" customHeight="false" outlineLevel="0" collapsed="false">
      <c r="B146" s="220" t="n">
        <v>238</v>
      </c>
      <c r="D146" s="222" t="s">
        <v>654</v>
      </c>
      <c r="E146" s="222" t="s">
        <v>655</v>
      </c>
    </row>
    <row r="147" customFormat="false" ht="12" hidden="false" customHeight="false" outlineLevel="0" collapsed="false">
      <c r="B147" s="220" t="n">
        <v>239</v>
      </c>
      <c r="D147" s="222" t="s">
        <v>656</v>
      </c>
      <c r="E147" s="222" t="s">
        <v>657</v>
      </c>
    </row>
    <row r="148" customFormat="false" ht="12" hidden="false" customHeight="false" outlineLevel="0" collapsed="false">
      <c r="B148" s="220" t="n">
        <v>240</v>
      </c>
      <c r="D148" s="222" t="s">
        <v>658</v>
      </c>
      <c r="E148" s="222" t="s">
        <v>82</v>
      </c>
    </row>
    <row r="149" customFormat="false" ht="12" hidden="false" customHeight="false" outlineLevel="0" collapsed="false">
      <c r="B149" s="220" t="n">
        <v>241</v>
      </c>
      <c r="D149" s="222" t="s">
        <v>659</v>
      </c>
      <c r="E149" s="222" t="s">
        <v>660</v>
      </c>
    </row>
    <row r="150" customFormat="false" ht="12" hidden="false" customHeight="false" outlineLevel="0" collapsed="false">
      <c r="B150" s="220" t="n">
        <v>242</v>
      </c>
      <c r="D150" s="222" t="s">
        <v>661</v>
      </c>
      <c r="E150" s="222" t="s">
        <v>662</v>
      </c>
    </row>
    <row r="151" customFormat="false" ht="12" hidden="false" customHeight="false" outlineLevel="0" collapsed="false">
      <c r="B151" s="220" t="n">
        <v>243</v>
      </c>
      <c r="D151" s="222" t="s">
        <v>663</v>
      </c>
      <c r="E151" s="222" t="s">
        <v>664</v>
      </c>
    </row>
    <row r="152" customFormat="false" ht="12" hidden="false" customHeight="false" outlineLevel="0" collapsed="false">
      <c r="B152" s="220" t="n">
        <v>244</v>
      </c>
      <c r="D152" s="222" t="s">
        <v>665</v>
      </c>
      <c r="E152" s="222" t="s">
        <v>666</v>
      </c>
    </row>
    <row r="153" customFormat="false" ht="12" hidden="false" customHeight="false" outlineLevel="0" collapsed="false">
      <c r="B153" s="220" t="n">
        <v>245</v>
      </c>
      <c r="D153" s="222" t="s">
        <v>667</v>
      </c>
      <c r="E153" s="222" t="s">
        <v>334</v>
      </c>
    </row>
    <row r="154" customFormat="false" ht="12" hidden="false" customHeight="false" outlineLevel="0" collapsed="false">
      <c r="B154" s="220" t="n">
        <v>246</v>
      </c>
      <c r="D154" s="222" t="s">
        <v>668</v>
      </c>
      <c r="E154" s="222" t="s">
        <v>669</v>
      </c>
    </row>
    <row r="155" customFormat="false" ht="12" hidden="false" customHeight="false" outlineLevel="0" collapsed="false">
      <c r="B155" s="220" t="n">
        <v>247</v>
      </c>
      <c r="D155" s="222" t="s">
        <v>670</v>
      </c>
      <c r="E155" s="222" t="s">
        <v>671</v>
      </c>
    </row>
    <row r="156" customFormat="false" ht="12" hidden="false" customHeight="false" outlineLevel="0" collapsed="false">
      <c r="B156" s="220" t="n">
        <v>248</v>
      </c>
      <c r="D156" s="222" t="s">
        <v>672</v>
      </c>
      <c r="E156" s="222" t="s">
        <v>673</v>
      </c>
    </row>
    <row r="157" customFormat="false" ht="12" hidden="false" customHeight="false" outlineLevel="0" collapsed="false">
      <c r="B157" s="220" t="n">
        <v>249</v>
      </c>
      <c r="D157" s="222" t="s">
        <v>674</v>
      </c>
      <c r="E157" s="222" t="s">
        <v>675</v>
      </c>
    </row>
    <row r="158" customFormat="false" ht="12" hidden="false" customHeight="false" outlineLevel="0" collapsed="false">
      <c r="B158" s="220" t="n">
        <v>250</v>
      </c>
      <c r="D158" s="222" t="s">
        <v>676</v>
      </c>
      <c r="E158" s="222" t="s">
        <v>677</v>
      </c>
    </row>
    <row r="159" customFormat="false" ht="12" hidden="false" customHeight="false" outlineLevel="0" collapsed="false">
      <c r="B159" s="220" t="n">
        <v>251</v>
      </c>
      <c r="D159" s="222" t="s">
        <v>678</v>
      </c>
      <c r="E159" s="222" t="s">
        <v>679</v>
      </c>
    </row>
    <row r="160" customFormat="false" ht="12" hidden="false" customHeight="false" outlineLevel="0" collapsed="false">
      <c r="B160" s="220" t="n">
        <v>252</v>
      </c>
      <c r="D160" s="222" t="s">
        <v>680</v>
      </c>
      <c r="E160" s="222" t="s">
        <v>681</v>
      </c>
    </row>
    <row r="161" customFormat="false" ht="12" hidden="false" customHeight="false" outlineLevel="0" collapsed="false">
      <c r="B161" s="220" t="n">
        <v>253</v>
      </c>
      <c r="D161" s="222" t="s">
        <v>682</v>
      </c>
      <c r="E161" s="222" t="s">
        <v>683</v>
      </c>
    </row>
    <row r="162" customFormat="false" ht="12" hidden="false" customHeight="false" outlineLevel="0" collapsed="false">
      <c r="B162" s="220" t="n">
        <v>254</v>
      </c>
      <c r="D162" s="222" t="s">
        <v>684</v>
      </c>
      <c r="E162" s="222" t="s">
        <v>685</v>
      </c>
    </row>
    <row r="163" customFormat="false" ht="12" hidden="false" customHeight="false" outlineLevel="0" collapsed="false">
      <c r="B163" s="220" t="n">
        <v>255</v>
      </c>
      <c r="D163" s="222" t="s">
        <v>686</v>
      </c>
      <c r="E163" s="222" t="s">
        <v>687</v>
      </c>
    </row>
    <row r="164" customFormat="false" ht="12" hidden="false" customHeight="false" outlineLevel="0" collapsed="false">
      <c r="B164" s="220" t="n">
        <v>256</v>
      </c>
      <c r="D164" s="222" t="s">
        <v>688</v>
      </c>
      <c r="E164" s="222" t="s">
        <v>689</v>
      </c>
    </row>
    <row r="165" customFormat="false" ht="12" hidden="false" customHeight="false" outlineLevel="0" collapsed="false">
      <c r="B165" s="220" t="n">
        <v>257</v>
      </c>
      <c r="D165" s="222" t="s">
        <v>690</v>
      </c>
      <c r="E165" s="222" t="s">
        <v>691</v>
      </c>
    </row>
    <row r="166" customFormat="false" ht="12" hidden="false" customHeight="false" outlineLevel="0" collapsed="false">
      <c r="B166" s="220" t="n">
        <v>258</v>
      </c>
      <c r="D166" s="222" t="s">
        <v>692</v>
      </c>
      <c r="E166" s="222" t="s">
        <v>693</v>
      </c>
    </row>
    <row r="167" customFormat="false" ht="24" hidden="false" customHeight="false" outlineLevel="0" collapsed="false">
      <c r="B167" s="220" t="n">
        <v>259</v>
      </c>
      <c r="D167" s="222" t="s">
        <v>694</v>
      </c>
      <c r="E167" s="222" t="s">
        <v>695</v>
      </c>
    </row>
    <row r="168" customFormat="false" ht="24" hidden="false" customHeight="false" outlineLevel="0" collapsed="false">
      <c r="B168" s="220" t="n">
        <v>260</v>
      </c>
      <c r="D168" s="222" t="s">
        <v>696</v>
      </c>
      <c r="E168" s="222" t="s">
        <v>697</v>
      </c>
    </row>
    <row r="169" customFormat="false" ht="24" hidden="false" customHeight="false" outlineLevel="0" collapsed="false">
      <c r="B169" s="220" t="n">
        <v>261</v>
      </c>
      <c r="D169" s="222" t="s">
        <v>698</v>
      </c>
      <c r="E169" s="222" t="s">
        <v>699</v>
      </c>
    </row>
    <row r="170" customFormat="false" ht="12" hidden="false" customHeight="false" outlineLevel="0" collapsed="false">
      <c r="B170" s="220" t="n">
        <v>262</v>
      </c>
      <c r="D170" s="222" t="s">
        <v>700</v>
      </c>
      <c r="E170" s="222" t="s">
        <v>701</v>
      </c>
    </row>
    <row r="171" customFormat="false" ht="12" hidden="false" customHeight="false" outlineLevel="0" collapsed="false">
      <c r="B171" s="220" t="n">
        <v>263</v>
      </c>
      <c r="D171" s="222" t="s">
        <v>702</v>
      </c>
      <c r="E171" s="222" t="s">
        <v>703</v>
      </c>
    </row>
    <row r="172" customFormat="false" ht="12" hidden="false" customHeight="false" outlineLevel="0" collapsed="false">
      <c r="B172" s="220" t="n">
        <v>264</v>
      </c>
      <c r="D172" s="222" t="s">
        <v>704</v>
      </c>
      <c r="E172" s="222" t="s">
        <v>705</v>
      </c>
    </row>
    <row r="173" customFormat="false" ht="12" hidden="false" customHeight="false" outlineLevel="0" collapsed="false">
      <c r="B173" s="220" t="n">
        <v>265</v>
      </c>
      <c r="D173" s="222" t="s">
        <v>706</v>
      </c>
      <c r="E173" s="222" t="s">
        <v>707</v>
      </c>
    </row>
    <row r="174" customFormat="false" ht="12" hidden="false" customHeight="false" outlineLevel="0" collapsed="false">
      <c r="B174" s="220" t="n">
        <v>266</v>
      </c>
      <c r="D174" s="222" t="s">
        <v>708</v>
      </c>
      <c r="E174" s="222" t="s">
        <v>709</v>
      </c>
    </row>
    <row r="175" customFormat="false" ht="24" hidden="false" customHeight="false" outlineLevel="0" collapsed="false">
      <c r="B175" s="220" t="n">
        <v>267</v>
      </c>
      <c r="D175" s="222" t="s">
        <v>710</v>
      </c>
      <c r="E175" s="222" t="s">
        <v>711</v>
      </c>
    </row>
    <row r="176" customFormat="false" ht="12" hidden="false" customHeight="false" outlineLevel="0" collapsed="false">
      <c r="B176" s="220" t="n">
        <v>268</v>
      </c>
      <c r="D176" s="222" t="s">
        <v>712</v>
      </c>
      <c r="E176" s="222" t="s">
        <v>713</v>
      </c>
    </row>
    <row r="177" customFormat="false" ht="12" hidden="false" customHeight="false" outlineLevel="0" collapsed="false">
      <c r="B177" s="220" t="n">
        <v>269</v>
      </c>
      <c r="D177" s="222" t="s">
        <v>714</v>
      </c>
      <c r="E177" s="222" t="s">
        <v>715</v>
      </c>
    </row>
    <row r="178" customFormat="false" ht="12" hidden="false" customHeight="false" outlineLevel="0" collapsed="false">
      <c r="B178" s="220" t="n">
        <v>270</v>
      </c>
      <c r="D178" s="222" t="s">
        <v>716</v>
      </c>
      <c r="E178" s="222" t="s">
        <v>717</v>
      </c>
    </row>
    <row r="179" customFormat="false" ht="12" hidden="false" customHeight="false" outlineLevel="0" collapsed="false">
      <c r="B179" s="220" t="n">
        <v>271</v>
      </c>
      <c r="D179" s="222" t="s">
        <v>718</v>
      </c>
      <c r="E179" s="222" t="s">
        <v>719</v>
      </c>
    </row>
    <row r="180" customFormat="false" ht="12" hidden="false" customHeight="false" outlineLevel="0" collapsed="false">
      <c r="B180" s="220" t="n">
        <v>272</v>
      </c>
      <c r="D180" s="222" t="s">
        <v>720</v>
      </c>
      <c r="E180" s="222" t="s">
        <v>721</v>
      </c>
    </row>
    <row r="181" customFormat="false" ht="12" hidden="false" customHeight="false" outlineLevel="0" collapsed="false">
      <c r="B181" s="220" t="n">
        <v>273</v>
      </c>
      <c r="D181" s="222" t="s">
        <v>722</v>
      </c>
      <c r="E181" s="222" t="s">
        <v>723</v>
      </c>
    </row>
    <row r="182" customFormat="false" ht="12" hidden="false" customHeight="false" outlineLevel="0" collapsed="false">
      <c r="B182" s="220" t="n">
        <v>274</v>
      </c>
      <c r="D182" s="222" t="s">
        <v>724</v>
      </c>
      <c r="E182" s="222" t="s">
        <v>725</v>
      </c>
    </row>
    <row r="183" customFormat="false" ht="12" hidden="false" customHeight="false" outlineLevel="0" collapsed="false">
      <c r="B183" s="220" t="n">
        <v>275</v>
      </c>
      <c r="D183" s="222" t="s">
        <v>726</v>
      </c>
      <c r="E183" s="222" t="s">
        <v>727</v>
      </c>
    </row>
    <row r="184" customFormat="false" ht="12" hidden="false" customHeight="false" outlineLevel="0" collapsed="false">
      <c r="B184" s="220" t="n">
        <v>276</v>
      </c>
      <c r="D184" s="222" t="s">
        <v>728</v>
      </c>
      <c r="E184" s="222" t="s">
        <v>729</v>
      </c>
    </row>
    <row r="185" customFormat="false" ht="24" hidden="false" customHeight="false" outlineLevel="0" collapsed="false">
      <c r="B185" s="220" t="n">
        <v>277</v>
      </c>
      <c r="D185" s="222" t="s">
        <v>730</v>
      </c>
    </row>
    <row r="186" customFormat="false" ht="12" hidden="false" customHeight="false" outlineLevel="0" collapsed="false">
      <c r="B186" s="220" t="n">
        <v>278</v>
      </c>
      <c r="D186" s="222" t="s">
        <v>731</v>
      </c>
      <c r="E186" s="222" t="s">
        <v>732</v>
      </c>
    </row>
    <row r="187" customFormat="false" ht="12" hidden="false" customHeight="false" outlineLevel="0" collapsed="false">
      <c r="B187" s="220" t="n">
        <v>279</v>
      </c>
      <c r="D187" s="222" t="s">
        <v>733</v>
      </c>
      <c r="E187" s="222" t="s">
        <v>734</v>
      </c>
    </row>
    <row r="188" customFormat="false" ht="12" hidden="false" customHeight="false" outlineLevel="0" collapsed="false">
      <c r="B188" s="220" t="n">
        <v>280</v>
      </c>
      <c r="D188" s="222" t="s">
        <v>735</v>
      </c>
      <c r="E188" s="222" t="s">
        <v>736</v>
      </c>
    </row>
    <row r="189" customFormat="false" ht="12" hidden="false" customHeight="false" outlineLevel="0" collapsed="false">
      <c r="B189" s="220" t="n">
        <v>281</v>
      </c>
      <c r="D189" s="222" t="s">
        <v>737</v>
      </c>
      <c r="E189" s="222" t="s">
        <v>738</v>
      </c>
    </row>
    <row r="190" customFormat="false" ht="12" hidden="false" customHeight="false" outlineLevel="0" collapsed="false">
      <c r="B190" s="220" t="n">
        <v>282</v>
      </c>
      <c r="D190" s="222" t="s">
        <v>739</v>
      </c>
      <c r="E190" s="222" t="s">
        <v>740</v>
      </c>
    </row>
    <row r="191" customFormat="false" ht="12" hidden="false" customHeight="false" outlineLevel="0" collapsed="false">
      <c r="B191" s="220" t="n">
        <v>283</v>
      </c>
      <c r="D191" s="222" t="s">
        <v>741</v>
      </c>
      <c r="E191" s="222" t="s">
        <v>742</v>
      </c>
    </row>
    <row r="192" customFormat="false" ht="12" hidden="false" customHeight="false" outlineLevel="0" collapsed="false">
      <c r="B192" s="220" t="n">
        <v>284</v>
      </c>
      <c r="D192" s="222" t="s">
        <v>743</v>
      </c>
      <c r="E192" s="222" t="s">
        <v>744</v>
      </c>
    </row>
    <row r="193" customFormat="false" ht="12" hidden="false" customHeight="false" outlineLevel="0" collapsed="false">
      <c r="B193" s="220" t="n">
        <v>285</v>
      </c>
      <c r="D193" s="222" t="s">
        <v>745</v>
      </c>
      <c r="E193" s="222" t="s">
        <v>745</v>
      </c>
    </row>
    <row r="194" customFormat="false" ht="12" hidden="false" customHeight="false" outlineLevel="0" collapsed="false">
      <c r="B194" s="220" t="n">
        <v>286</v>
      </c>
      <c r="D194" s="222" t="s">
        <v>746</v>
      </c>
      <c r="E194" s="222" t="s">
        <v>747</v>
      </c>
    </row>
    <row r="195" customFormat="false" ht="12" hidden="false" customHeight="false" outlineLevel="0" collapsed="false">
      <c r="B195" s="220" t="n">
        <v>287</v>
      </c>
      <c r="D195" s="222" t="s">
        <v>748</v>
      </c>
      <c r="E195" s="222" t="s">
        <v>749</v>
      </c>
    </row>
    <row r="196" customFormat="false" ht="12" hidden="false" customHeight="false" outlineLevel="0" collapsed="false">
      <c r="B196" s="220" t="n">
        <v>288</v>
      </c>
      <c r="D196" s="222" t="s">
        <v>750</v>
      </c>
      <c r="E196" s="222" t="s">
        <v>750</v>
      </c>
    </row>
    <row r="197" customFormat="false" ht="12" hidden="false" customHeight="false" outlineLevel="0" collapsed="false">
      <c r="B197" s="220" t="n">
        <v>289</v>
      </c>
      <c r="D197" s="222" t="s">
        <v>751</v>
      </c>
      <c r="E197" s="222" t="s">
        <v>752</v>
      </c>
    </row>
    <row r="198" customFormat="false" ht="12" hidden="false" customHeight="false" outlineLevel="0" collapsed="false">
      <c r="B198" s="220" t="n">
        <v>290</v>
      </c>
      <c r="D198" s="222" t="s">
        <v>753</v>
      </c>
      <c r="E198" s="222" t="s">
        <v>754</v>
      </c>
    </row>
    <row r="199" customFormat="false" ht="12" hidden="false" customHeight="false" outlineLevel="0" collapsed="false">
      <c r="B199" s="220" t="n">
        <v>291</v>
      </c>
      <c r="D199" s="222" t="s">
        <v>755</v>
      </c>
      <c r="E199" s="222" t="s">
        <v>756</v>
      </c>
    </row>
    <row r="200" customFormat="false" ht="12" hidden="false" customHeight="false" outlineLevel="0" collapsed="false">
      <c r="B200" s="220" t="n">
        <v>292</v>
      </c>
      <c r="D200" s="222" t="s">
        <v>757</v>
      </c>
      <c r="E200" s="222" t="s">
        <v>758</v>
      </c>
    </row>
    <row r="201" customFormat="false" ht="12" hidden="false" customHeight="false" outlineLevel="0" collapsed="false">
      <c r="B201" s="220" t="n">
        <v>293</v>
      </c>
      <c r="D201" s="222" t="s">
        <v>759</v>
      </c>
      <c r="E201" s="222" t="s">
        <v>760</v>
      </c>
    </row>
    <row r="202" customFormat="false" ht="12" hidden="false" customHeight="false" outlineLevel="0" collapsed="false">
      <c r="B202" s="220" t="n">
        <v>294</v>
      </c>
      <c r="D202" s="222" t="s">
        <v>761</v>
      </c>
      <c r="E202" s="222" t="s">
        <v>762</v>
      </c>
    </row>
    <row r="203" customFormat="false" ht="12" hidden="false" customHeight="false" outlineLevel="0" collapsed="false">
      <c r="B203" s="220" t="n">
        <v>295</v>
      </c>
      <c r="D203" s="222" t="s">
        <v>763</v>
      </c>
      <c r="E203" s="222" t="s">
        <v>760</v>
      </c>
    </row>
    <row r="204" customFormat="false" ht="12" hidden="false" customHeight="false" outlineLevel="0" collapsed="false">
      <c r="B204" s="220" t="n">
        <v>296</v>
      </c>
      <c r="D204" s="222" t="s">
        <v>764</v>
      </c>
      <c r="E204" s="222" t="s">
        <v>350</v>
      </c>
    </row>
    <row r="205" customFormat="false" ht="12" hidden="false" customHeight="false" outlineLevel="0" collapsed="false">
      <c r="B205" s="220" t="n">
        <v>297</v>
      </c>
      <c r="D205" s="222" t="s">
        <v>765</v>
      </c>
      <c r="E205" s="222" t="s">
        <v>766</v>
      </c>
    </row>
    <row r="206" customFormat="false" ht="12" hidden="false" customHeight="false" outlineLevel="0" collapsed="false">
      <c r="B206" s="220" t="n">
        <v>298</v>
      </c>
      <c r="D206" s="222" t="s">
        <v>767</v>
      </c>
      <c r="E206" s="222" t="s">
        <v>768</v>
      </c>
    </row>
    <row r="207" customFormat="false" ht="12" hidden="false" customHeight="false" outlineLevel="0" collapsed="false">
      <c r="B207" s="220" t="n">
        <v>299</v>
      </c>
      <c r="D207" s="222" t="s">
        <v>769</v>
      </c>
      <c r="E207" s="222" t="s">
        <v>770</v>
      </c>
    </row>
    <row r="208" customFormat="false" ht="12" hidden="false" customHeight="false" outlineLevel="0" collapsed="false">
      <c r="B208" s="220" t="n">
        <v>300</v>
      </c>
      <c r="D208" s="222" t="s">
        <v>771</v>
      </c>
      <c r="E208" s="222" t="s">
        <v>772</v>
      </c>
    </row>
    <row r="209" customFormat="false" ht="12" hidden="false" customHeight="false" outlineLevel="0" collapsed="false">
      <c r="B209" s="220" t="n">
        <v>301</v>
      </c>
      <c r="D209" s="222" t="s">
        <v>773</v>
      </c>
      <c r="E209" s="222" t="s">
        <v>351</v>
      </c>
    </row>
    <row r="210" customFormat="false" ht="12" hidden="false" customHeight="false" outlineLevel="0" collapsed="false">
      <c r="B210" s="220" t="n">
        <v>302</v>
      </c>
      <c r="D210" s="222" t="s">
        <v>774</v>
      </c>
      <c r="E210" s="222" t="s">
        <v>775</v>
      </c>
    </row>
    <row r="211" customFormat="false" ht="12" hidden="false" customHeight="false" outlineLevel="0" collapsed="false">
      <c r="B211" s="220" t="n">
        <v>303</v>
      </c>
      <c r="D211" s="222" t="s">
        <v>776</v>
      </c>
      <c r="E211" s="222" t="s">
        <v>777</v>
      </c>
    </row>
    <row r="212" customFormat="false" ht="12" hidden="false" customHeight="false" outlineLevel="0" collapsed="false">
      <c r="B212" s="220" t="n">
        <v>304</v>
      </c>
      <c r="D212" s="222" t="s">
        <v>778</v>
      </c>
      <c r="E212" s="222" t="s">
        <v>779</v>
      </c>
    </row>
    <row r="213" customFormat="false" ht="12" hidden="false" customHeight="false" outlineLevel="0" collapsed="false">
      <c r="B213" s="220" t="n">
        <v>305</v>
      </c>
      <c r="D213" s="222" t="s">
        <v>780</v>
      </c>
      <c r="E213" s="222" t="s">
        <v>178</v>
      </c>
    </row>
    <row r="214" customFormat="false" ht="24" hidden="false" customHeight="false" outlineLevel="0" collapsed="false">
      <c r="B214" s="220" t="n">
        <v>306</v>
      </c>
      <c r="D214" s="222" t="s">
        <v>781</v>
      </c>
      <c r="E214" s="222" t="s">
        <v>782</v>
      </c>
    </row>
    <row r="215" customFormat="false" ht="24" hidden="false" customHeight="false" outlineLevel="0" collapsed="false">
      <c r="B215" s="220" t="n">
        <v>307</v>
      </c>
      <c r="D215" s="222" t="s">
        <v>783</v>
      </c>
      <c r="E215" s="222" t="s">
        <v>784</v>
      </c>
    </row>
    <row r="216" customFormat="false" ht="12" hidden="false" customHeight="false" outlineLevel="0" collapsed="false">
      <c r="B216" s="220" t="n">
        <v>308</v>
      </c>
      <c r="D216" s="222" t="s">
        <v>785</v>
      </c>
      <c r="E216" s="222" t="s">
        <v>786</v>
      </c>
    </row>
    <row r="217" customFormat="false" ht="12" hidden="false" customHeight="false" outlineLevel="0" collapsed="false">
      <c r="B217" s="220" t="n">
        <v>309</v>
      </c>
      <c r="D217" s="222" t="s">
        <v>787</v>
      </c>
      <c r="E217" s="222" t="s">
        <v>788</v>
      </c>
    </row>
    <row r="218" customFormat="false" ht="12" hidden="false" customHeight="false" outlineLevel="0" collapsed="false">
      <c r="B218" s="220" t="n">
        <v>310</v>
      </c>
      <c r="D218" s="222" t="s">
        <v>789</v>
      </c>
      <c r="E218" s="222" t="s">
        <v>790</v>
      </c>
    </row>
    <row r="219" customFormat="false" ht="12" hidden="false" customHeight="false" outlineLevel="0" collapsed="false">
      <c r="B219" s="220" t="n">
        <v>311</v>
      </c>
      <c r="D219" s="222" t="s">
        <v>791</v>
      </c>
      <c r="E219" s="222" t="s">
        <v>792</v>
      </c>
    </row>
    <row r="220" customFormat="false" ht="12" hidden="false" customHeight="false" outlineLevel="0" collapsed="false">
      <c r="B220" s="220" t="n">
        <v>312</v>
      </c>
      <c r="D220" s="222" t="s">
        <v>793</v>
      </c>
      <c r="E220" s="222" t="s">
        <v>794</v>
      </c>
    </row>
    <row r="221" customFormat="false" ht="12" hidden="false" customHeight="false" outlineLevel="0" collapsed="false">
      <c r="B221" s="220" t="n">
        <v>313</v>
      </c>
      <c r="D221" s="222" t="s">
        <v>795</v>
      </c>
      <c r="E221" s="222" t="s">
        <v>796</v>
      </c>
    </row>
    <row r="222" customFormat="false" ht="12" hidden="false" customHeight="false" outlineLevel="0" collapsed="false">
      <c r="B222" s="220" t="n">
        <v>314</v>
      </c>
      <c r="D222" s="222" t="s">
        <v>797</v>
      </c>
      <c r="E222" s="222" t="s">
        <v>798</v>
      </c>
    </row>
    <row r="223" customFormat="false" ht="12" hidden="false" customHeight="false" outlineLevel="0" collapsed="false">
      <c r="B223" s="220" t="n">
        <v>315</v>
      </c>
      <c r="D223" s="222" t="s">
        <v>799</v>
      </c>
      <c r="E223" s="222" t="s">
        <v>800</v>
      </c>
    </row>
    <row r="224" customFormat="false" ht="12" hidden="false" customHeight="false" outlineLevel="0" collapsed="false">
      <c r="B224" s="220" t="n">
        <v>316</v>
      </c>
      <c r="D224" s="222" t="s">
        <v>801</v>
      </c>
      <c r="E224" s="222" t="s">
        <v>802</v>
      </c>
    </row>
    <row r="225" customFormat="false" ht="12" hidden="false" customHeight="false" outlineLevel="0" collapsed="false">
      <c r="B225" s="220" t="n">
        <v>317</v>
      </c>
      <c r="D225" s="222" t="s">
        <v>803</v>
      </c>
      <c r="E225" s="222" t="s">
        <v>320</v>
      </c>
    </row>
    <row r="226" customFormat="false" ht="24" hidden="false" customHeight="false" outlineLevel="0" collapsed="false">
      <c r="B226" s="220" t="n">
        <v>318</v>
      </c>
      <c r="D226" s="222" t="s">
        <v>804</v>
      </c>
      <c r="E226" s="222" t="s">
        <v>805</v>
      </c>
    </row>
    <row r="227" customFormat="false" ht="12" hidden="false" customHeight="false" outlineLevel="0" collapsed="false">
      <c r="B227" s="220" t="n">
        <v>319</v>
      </c>
      <c r="D227" s="222" t="s">
        <v>806</v>
      </c>
      <c r="E227" s="222" t="s">
        <v>807</v>
      </c>
    </row>
    <row r="228" customFormat="false" ht="12" hidden="false" customHeight="false" outlineLevel="0" collapsed="false">
      <c r="B228" s="220" t="n">
        <v>320</v>
      </c>
      <c r="C228" s="221" t="s">
        <v>471</v>
      </c>
      <c r="D228" s="222" t="s">
        <v>808</v>
      </c>
      <c r="E228" s="222" t="s">
        <v>192</v>
      </c>
    </row>
    <row r="229" customFormat="false" ht="12" hidden="false" customHeight="false" outlineLevel="0" collapsed="false">
      <c r="B229" s="220" t="n">
        <v>321</v>
      </c>
      <c r="D229" s="222" t="s">
        <v>809</v>
      </c>
      <c r="E229" s="222" t="s">
        <v>564</v>
      </c>
    </row>
    <row r="230" customFormat="false" ht="12" hidden="false" customHeight="false" outlineLevel="0" collapsed="false">
      <c r="B230" s="220" t="n">
        <v>322</v>
      </c>
      <c r="D230" s="222" t="s">
        <v>810</v>
      </c>
      <c r="E230" s="222" t="s">
        <v>811</v>
      </c>
    </row>
    <row r="231" customFormat="false" ht="12" hidden="false" customHeight="false" outlineLevel="0" collapsed="false">
      <c r="B231" s="220" t="n">
        <v>323</v>
      </c>
      <c r="D231" s="222" t="s">
        <v>812</v>
      </c>
      <c r="E231" s="222" t="s">
        <v>813</v>
      </c>
    </row>
    <row r="232" customFormat="false" ht="12" hidden="false" customHeight="false" outlineLevel="0" collapsed="false">
      <c r="B232" s="220" t="n">
        <v>324</v>
      </c>
      <c r="D232" s="222" t="s">
        <v>814</v>
      </c>
      <c r="E232" s="222" t="s">
        <v>815</v>
      </c>
    </row>
    <row r="233" customFormat="false" ht="12" hidden="false" customHeight="false" outlineLevel="0" collapsed="false">
      <c r="B233" s="220" t="n">
        <v>325</v>
      </c>
      <c r="D233" s="222" t="s">
        <v>816</v>
      </c>
      <c r="E233" s="222" t="s">
        <v>817</v>
      </c>
    </row>
    <row r="234" customFormat="false" ht="12" hidden="false" customHeight="false" outlineLevel="0" collapsed="false">
      <c r="B234" s="220" t="n">
        <v>326</v>
      </c>
      <c r="D234" s="222" t="s">
        <v>818</v>
      </c>
      <c r="E234" s="222" t="s">
        <v>819</v>
      </c>
    </row>
    <row r="235" customFormat="false" ht="12" hidden="false" customHeight="false" outlineLevel="0" collapsed="false">
      <c r="B235" s="220" t="n">
        <v>327</v>
      </c>
      <c r="D235" s="222" t="s">
        <v>820</v>
      </c>
      <c r="E235" s="222" t="s">
        <v>821</v>
      </c>
    </row>
    <row r="236" customFormat="false" ht="12" hidden="false" customHeight="false" outlineLevel="0" collapsed="false">
      <c r="B236" s="220" t="n">
        <v>328</v>
      </c>
      <c r="D236" s="222" t="s">
        <v>822</v>
      </c>
      <c r="E236" s="222" t="s">
        <v>823</v>
      </c>
    </row>
    <row r="237" customFormat="false" ht="12" hidden="false" customHeight="false" outlineLevel="0" collapsed="false">
      <c r="B237" s="220" t="n">
        <v>329</v>
      </c>
      <c r="D237" s="222" t="s">
        <v>824</v>
      </c>
      <c r="E237" s="222" t="s">
        <v>825</v>
      </c>
    </row>
    <row r="238" customFormat="false" ht="36" hidden="false" customHeight="false" outlineLevel="0" collapsed="false">
      <c r="B238" s="220" t="n">
        <v>330</v>
      </c>
      <c r="D238" s="222" t="s">
        <v>826</v>
      </c>
      <c r="E238" s="222" t="s">
        <v>827</v>
      </c>
    </row>
    <row r="239" customFormat="false" ht="12" hidden="false" customHeight="false" outlineLevel="0" collapsed="false">
      <c r="B239" s="220" t="n">
        <v>331</v>
      </c>
      <c r="D239" s="222" t="s">
        <v>828</v>
      </c>
      <c r="E239" s="222" t="s">
        <v>318</v>
      </c>
    </row>
    <row r="240" customFormat="false" ht="12" hidden="false" customHeight="false" outlineLevel="0" collapsed="false">
      <c r="B240" s="220" t="n">
        <v>332</v>
      </c>
      <c r="D240" s="222" t="s">
        <v>829</v>
      </c>
      <c r="E240" s="222" t="s">
        <v>830</v>
      </c>
    </row>
    <row r="241" customFormat="false" ht="12" hidden="false" customHeight="false" outlineLevel="0" collapsed="false">
      <c r="A241" s="226"/>
      <c r="B241" s="220" t="n">
        <v>333</v>
      </c>
      <c r="C241" s="227" t="s">
        <v>418</v>
      </c>
      <c r="D241" s="225" t="s">
        <v>831</v>
      </c>
      <c r="E241" s="225" t="s">
        <v>192</v>
      </c>
      <c r="F241" s="228"/>
    </row>
    <row r="242" customFormat="false" ht="12" hidden="false" customHeight="false" outlineLevel="0" collapsed="false">
      <c r="A242" s="226"/>
      <c r="B242" s="220" t="n">
        <v>334</v>
      </c>
      <c r="C242" s="227" t="s">
        <v>418</v>
      </c>
      <c r="D242" s="225" t="s">
        <v>832</v>
      </c>
      <c r="E242" s="225" t="s">
        <v>833</v>
      </c>
      <c r="F242" s="228"/>
    </row>
    <row r="243" customFormat="false" ht="12" hidden="false" customHeight="false" outlineLevel="0" collapsed="false">
      <c r="A243" s="226"/>
      <c r="B243" s="220" t="n">
        <v>335</v>
      </c>
      <c r="C243" s="227" t="s">
        <v>418</v>
      </c>
      <c r="D243" s="225" t="s">
        <v>834</v>
      </c>
      <c r="E243" s="225" t="s">
        <v>835</v>
      </c>
      <c r="F243" s="228"/>
    </row>
    <row r="244" customFormat="false" ht="12" hidden="false" customHeight="false" outlineLevel="0" collapsed="false">
      <c r="B244" s="220" t="n">
        <v>336</v>
      </c>
      <c r="D244" s="222" t="s">
        <v>836</v>
      </c>
      <c r="E244" s="222" t="s">
        <v>192</v>
      </c>
    </row>
    <row r="245" customFormat="false" ht="12" hidden="false" customHeight="false" outlineLevel="0" collapsed="false">
      <c r="B245" s="220" t="n">
        <v>337</v>
      </c>
      <c r="D245" s="222" t="s">
        <v>837</v>
      </c>
      <c r="E245" s="225" t="s">
        <v>838</v>
      </c>
    </row>
    <row r="246" customFormat="false" ht="12" hidden="false" customHeight="false" outlineLevel="0" collapsed="false">
      <c r="B246" s="220" t="n">
        <v>338</v>
      </c>
      <c r="D246" s="222" t="s">
        <v>839</v>
      </c>
      <c r="E246" s="222" t="s">
        <v>840</v>
      </c>
    </row>
    <row r="247" customFormat="false" ht="12" hidden="false" customHeight="false" outlineLevel="0" collapsed="false">
      <c r="B247" s="220" t="n">
        <v>339</v>
      </c>
      <c r="D247" s="222" t="s">
        <v>841</v>
      </c>
      <c r="E247" s="222" t="s">
        <v>842</v>
      </c>
    </row>
    <row r="248" customFormat="false" ht="12" hidden="false" customHeight="false" outlineLevel="0" collapsed="false">
      <c r="B248" s="220" t="n">
        <v>340</v>
      </c>
      <c r="D248" s="222" t="s">
        <v>843</v>
      </c>
      <c r="E248" s="222" t="s">
        <v>844</v>
      </c>
    </row>
    <row r="249" customFormat="false" ht="12" hidden="false" customHeight="false" outlineLevel="0" collapsed="false">
      <c r="B249" s="220" t="n">
        <v>341</v>
      </c>
      <c r="D249" s="222" t="s">
        <v>845</v>
      </c>
      <c r="E249" s="222" t="s">
        <v>846</v>
      </c>
    </row>
    <row r="250" customFormat="false" ht="12" hidden="false" customHeight="false" outlineLevel="0" collapsed="false">
      <c r="B250" s="220" t="n">
        <v>342</v>
      </c>
      <c r="D250" s="222" t="s">
        <v>847</v>
      </c>
      <c r="E250" s="222" t="s">
        <v>848</v>
      </c>
    </row>
    <row r="251" customFormat="false" ht="12" hidden="false" customHeight="false" outlineLevel="0" collapsed="false">
      <c r="B251" s="220" t="n">
        <v>343</v>
      </c>
      <c r="D251" s="222" t="s">
        <v>849</v>
      </c>
      <c r="E251" s="222" t="s">
        <v>850</v>
      </c>
    </row>
    <row r="252" customFormat="false" ht="12" hidden="false" customHeight="false" outlineLevel="0" collapsed="false">
      <c r="B252" s="220" t="n">
        <v>344</v>
      </c>
      <c r="D252" s="222" t="s">
        <v>851</v>
      </c>
      <c r="E252" s="222" t="s">
        <v>852</v>
      </c>
    </row>
    <row r="253" customFormat="false" ht="12" hidden="false" customHeight="false" outlineLevel="0" collapsed="false">
      <c r="B253" s="220" t="n">
        <v>345</v>
      </c>
      <c r="D253" s="222" t="s">
        <v>853</v>
      </c>
      <c r="E253" s="222" t="s">
        <v>69</v>
      </c>
    </row>
    <row r="254" customFormat="false" ht="12" hidden="false" customHeight="false" outlineLevel="0" collapsed="false">
      <c r="B254" s="220" t="n">
        <v>346</v>
      </c>
      <c r="D254" s="222" t="s">
        <v>854</v>
      </c>
      <c r="E254" s="222" t="s">
        <v>855</v>
      </c>
    </row>
    <row r="255" customFormat="false" ht="12" hidden="false" customHeight="false" outlineLevel="0" collapsed="false">
      <c r="B255" s="220" t="n">
        <v>347</v>
      </c>
      <c r="D255" s="222" t="s">
        <v>856</v>
      </c>
      <c r="E255" s="222" t="s">
        <v>857</v>
      </c>
    </row>
    <row r="256" customFormat="false" ht="12" hidden="false" customHeight="false" outlineLevel="0" collapsed="false">
      <c r="B256" s="220" t="n">
        <v>348</v>
      </c>
      <c r="D256" s="222" t="s">
        <v>858</v>
      </c>
      <c r="E256" s="222" t="s">
        <v>859</v>
      </c>
    </row>
    <row r="257" customFormat="false" ht="12" hidden="false" customHeight="false" outlineLevel="0" collapsed="false">
      <c r="B257" s="220" t="n">
        <v>349</v>
      </c>
      <c r="D257" s="222" t="s">
        <v>129</v>
      </c>
      <c r="E257" s="222" t="s">
        <v>860</v>
      </c>
    </row>
    <row r="258" customFormat="false" ht="12" hidden="false" customHeight="false" outlineLevel="0" collapsed="false">
      <c r="B258" s="220" t="n">
        <v>350</v>
      </c>
      <c r="D258" s="222" t="s">
        <v>861</v>
      </c>
      <c r="E258" s="222" t="s">
        <v>862</v>
      </c>
    </row>
    <row r="259" customFormat="false" ht="12" hidden="false" customHeight="false" outlineLevel="0" collapsed="false">
      <c r="B259" s="220" t="n">
        <v>351</v>
      </c>
      <c r="D259" s="222" t="s">
        <v>863</v>
      </c>
      <c r="E259" s="222" t="s">
        <v>864</v>
      </c>
    </row>
    <row r="260" customFormat="false" ht="12" hidden="false" customHeight="false" outlineLevel="0" collapsed="false">
      <c r="B260" s="220" t="n">
        <v>352</v>
      </c>
      <c r="D260" s="222" t="s">
        <v>865</v>
      </c>
      <c r="E260" s="222" t="s">
        <v>866</v>
      </c>
    </row>
    <row r="261" customFormat="false" ht="12" hidden="false" customHeight="false" outlineLevel="0" collapsed="false">
      <c r="B261" s="220" t="n">
        <v>353</v>
      </c>
      <c r="D261" s="222" t="s">
        <v>867</v>
      </c>
      <c r="E261" s="222" t="s">
        <v>868</v>
      </c>
    </row>
    <row r="262" customFormat="false" ht="12" hidden="false" customHeight="false" outlineLevel="0" collapsed="false">
      <c r="B262" s="220" t="n">
        <v>354</v>
      </c>
      <c r="D262" s="222" t="s">
        <v>869</v>
      </c>
      <c r="E262" s="222" t="s">
        <v>870</v>
      </c>
    </row>
    <row r="263" customFormat="false" ht="12" hidden="false" customHeight="false" outlineLevel="0" collapsed="false">
      <c r="B263" s="220" t="n">
        <v>355</v>
      </c>
      <c r="D263" s="222" t="s">
        <v>871</v>
      </c>
      <c r="E263" s="222" t="s">
        <v>872</v>
      </c>
    </row>
    <row r="264" customFormat="false" ht="12" hidden="false" customHeight="false" outlineLevel="0" collapsed="false">
      <c r="B264" s="220" t="n">
        <v>356</v>
      </c>
      <c r="D264" s="222" t="s">
        <v>873</v>
      </c>
      <c r="E264" s="222" t="s">
        <v>873</v>
      </c>
    </row>
    <row r="265" customFormat="false" ht="12" hidden="false" customHeight="false" outlineLevel="0" collapsed="false">
      <c r="B265" s="220" t="n">
        <v>357</v>
      </c>
      <c r="D265" s="222" t="s">
        <v>874</v>
      </c>
      <c r="E265" s="222" t="s">
        <v>875</v>
      </c>
    </row>
    <row r="266" customFormat="false" ht="24" hidden="false" customHeight="false" outlineLevel="0" collapsed="false">
      <c r="B266" s="220" t="n">
        <v>358</v>
      </c>
      <c r="D266" s="222" t="s">
        <v>876</v>
      </c>
      <c r="E266" s="222" t="s">
        <v>877</v>
      </c>
    </row>
    <row r="267" customFormat="false" ht="12" hidden="false" customHeight="false" outlineLevel="0" collapsed="false">
      <c r="B267" s="220" t="n">
        <v>359</v>
      </c>
      <c r="D267" s="222" t="s">
        <v>878</v>
      </c>
      <c r="E267" s="222" t="s">
        <v>879</v>
      </c>
    </row>
    <row r="268" customFormat="false" ht="12" hidden="false" customHeight="false" outlineLevel="0" collapsed="false">
      <c r="B268" s="220" t="n">
        <v>360</v>
      </c>
      <c r="D268" s="222" t="s">
        <v>880</v>
      </c>
      <c r="E268" s="222" t="s">
        <v>881</v>
      </c>
    </row>
    <row r="269" customFormat="false" ht="12" hidden="false" customHeight="false" outlineLevel="0" collapsed="false">
      <c r="B269" s="220" t="n">
        <v>361</v>
      </c>
      <c r="D269" s="225" t="s">
        <v>882</v>
      </c>
      <c r="E269" s="222" t="s">
        <v>190</v>
      </c>
    </row>
    <row r="270" customFormat="false" ht="12" hidden="false" customHeight="false" outlineLevel="0" collapsed="false">
      <c r="B270" s="220" t="n">
        <v>362</v>
      </c>
      <c r="D270" s="222" t="s">
        <v>883</v>
      </c>
      <c r="E270" s="222" t="s">
        <v>884</v>
      </c>
    </row>
    <row r="271" customFormat="false" ht="12" hidden="false" customHeight="false" outlineLevel="0" collapsed="false">
      <c r="B271" s="220" t="n">
        <v>363</v>
      </c>
      <c r="D271" s="222" t="s">
        <v>885</v>
      </c>
      <c r="E271" s="222" t="s">
        <v>886</v>
      </c>
    </row>
    <row r="272" customFormat="false" ht="12" hidden="false" customHeight="false" outlineLevel="0" collapsed="false">
      <c r="B272" s="220" t="n">
        <v>364</v>
      </c>
      <c r="D272" s="222" t="s">
        <v>887</v>
      </c>
      <c r="E272" s="222" t="s">
        <v>888</v>
      </c>
    </row>
    <row r="273" customFormat="false" ht="12" hidden="false" customHeight="false" outlineLevel="0" collapsed="false">
      <c r="B273" s="220" t="n">
        <v>365</v>
      </c>
      <c r="D273" s="222" t="s">
        <v>889</v>
      </c>
      <c r="E273" s="222" t="s">
        <v>890</v>
      </c>
    </row>
    <row r="274" customFormat="false" ht="12" hidden="false" customHeight="false" outlineLevel="0" collapsed="false">
      <c r="B274" s="220" t="n">
        <v>366</v>
      </c>
      <c r="D274" s="222" t="s">
        <v>891</v>
      </c>
      <c r="E274" s="222" t="s">
        <v>892</v>
      </c>
    </row>
    <row r="275" customFormat="false" ht="12" hidden="false" customHeight="false" outlineLevel="0" collapsed="false">
      <c r="B275" s="220" t="n">
        <v>367</v>
      </c>
      <c r="D275" s="222" t="s">
        <v>893</v>
      </c>
      <c r="E275" s="222" t="s">
        <v>153</v>
      </c>
    </row>
    <row r="276" customFormat="false" ht="12" hidden="false" customHeight="false" outlineLevel="0" collapsed="false">
      <c r="B276" s="220" t="n">
        <v>368</v>
      </c>
      <c r="D276" s="222" t="s">
        <v>894</v>
      </c>
      <c r="E276" s="222" t="s">
        <v>895</v>
      </c>
    </row>
    <row r="277" customFormat="false" ht="12" hidden="false" customHeight="false" outlineLevel="0" collapsed="false">
      <c r="B277" s="220" t="n">
        <v>369</v>
      </c>
      <c r="D277" s="222" t="s">
        <v>896</v>
      </c>
      <c r="E277" s="222" t="s">
        <v>897</v>
      </c>
    </row>
    <row r="278" customFormat="false" ht="12" hidden="false" customHeight="false" outlineLevel="0" collapsed="false">
      <c r="B278" s="220" t="n">
        <v>370</v>
      </c>
      <c r="D278" s="222" t="s">
        <v>898</v>
      </c>
    </row>
    <row r="279" customFormat="false" ht="12" hidden="false" customHeight="false" outlineLevel="0" collapsed="false">
      <c r="B279" s="220" t="n">
        <v>371</v>
      </c>
      <c r="D279" s="222" t="s">
        <v>899</v>
      </c>
      <c r="E279" s="222" t="s">
        <v>900</v>
      </c>
    </row>
    <row r="280" customFormat="false" ht="24" hidden="false" customHeight="false" outlineLevel="0" collapsed="false">
      <c r="B280" s="220" t="n">
        <v>372</v>
      </c>
      <c r="D280" s="222" t="s">
        <v>901</v>
      </c>
      <c r="E280" s="222" t="s">
        <v>902</v>
      </c>
    </row>
    <row r="281" customFormat="false" ht="24" hidden="false" customHeight="false" outlineLevel="0" collapsed="false">
      <c r="B281" s="220" t="n">
        <v>373</v>
      </c>
      <c r="D281" s="222" t="s">
        <v>903</v>
      </c>
      <c r="E281" s="222" t="s">
        <v>904</v>
      </c>
    </row>
    <row r="282" customFormat="false" ht="12" hidden="false" customHeight="false" outlineLevel="0" collapsed="false">
      <c r="B282" s="220" t="n">
        <v>374</v>
      </c>
      <c r="D282" s="222" t="s">
        <v>905</v>
      </c>
      <c r="E282" s="222" t="s">
        <v>906</v>
      </c>
    </row>
    <row r="283" customFormat="false" ht="12" hidden="false" customHeight="false" outlineLevel="0" collapsed="false">
      <c r="B283" s="220" t="n">
        <v>375</v>
      </c>
      <c r="D283" s="222" t="s">
        <v>907</v>
      </c>
      <c r="E283" s="222" t="s">
        <v>908</v>
      </c>
    </row>
    <row r="284" customFormat="false" ht="12" hidden="false" customHeight="false" outlineLevel="0" collapsed="false">
      <c r="B284" s="220" t="n">
        <v>376</v>
      </c>
      <c r="D284" s="222" t="s">
        <v>909</v>
      </c>
      <c r="E284" s="222" t="s">
        <v>910</v>
      </c>
    </row>
    <row r="285" customFormat="false" ht="12" hidden="false" customHeight="false" outlineLevel="0" collapsed="false">
      <c r="B285" s="220" t="n">
        <v>377</v>
      </c>
      <c r="D285" s="222" t="s">
        <v>911</v>
      </c>
      <c r="E285" s="222" t="s">
        <v>912</v>
      </c>
    </row>
    <row r="286" customFormat="false" ht="12" hidden="false" customHeight="false" outlineLevel="0" collapsed="false">
      <c r="B286" s="220" t="n">
        <v>378</v>
      </c>
      <c r="D286" s="222" t="s">
        <v>913</v>
      </c>
      <c r="E286" s="222" t="s">
        <v>914</v>
      </c>
    </row>
    <row r="287" customFormat="false" ht="12" hidden="false" customHeight="false" outlineLevel="0" collapsed="false">
      <c r="B287" s="220" t="n">
        <v>379</v>
      </c>
      <c r="D287" s="222" t="s">
        <v>915</v>
      </c>
      <c r="E287" s="222" t="s">
        <v>347</v>
      </c>
    </row>
    <row r="288" customFormat="false" ht="12" hidden="false" customHeight="false" outlineLevel="0" collapsed="false">
      <c r="B288" s="220" t="n">
        <v>380</v>
      </c>
      <c r="D288" s="222" t="s">
        <v>916</v>
      </c>
      <c r="E288" s="222" t="s">
        <v>917</v>
      </c>
    </row>
    <row r="289" customFormat="false" ht="12" hidden="false" customHeight="false" outlineLevel="0" collapsed="false">
      <c r="B289" s="220" t="n">
        <v>381</v>
      </c>
      <c r="D289" s="222" t="s">
        <v>918</v>
      </c>
      <c r="E289" s="222" t="s">
        <v>333</v>
      </c>
    </row>
    <row r="290" customFormat="false" ht="12" hidden="false" customHeight="false" outlineLevel="0" collapsed="false">
      <c r="B290" s="220" t="n">
        <v>382</v>
      </c>
      <c r="D290" s="222" t="s">
        <v>919</v>
      </c>
      <c r="E290" s="222" t="s">
        <v>920</v>
      </c>
    </row>
    <row r="291" customFormat="false" ht="12" hidden="false" customHeight="false" outlineLevel="0" collapsed="false">
      <c r="B291" s="220" t="n">
        <v>383</v>
      </c>
      <c r="D291" s="222" t="s">
        <v>921</v>
      </c>
      <c r="E291" s="222" t="s">
        <v>922</v>
      </c>
    </row>
    <row r="292" customFormat="false" ht="12" hidden="false" customHeight="false" outlineLevel="0" collapsed="false">
      <c r="B292" s="220" t="n">
        <v>384</v>
      </c>
      <c r="D292" s="222" t="s">
        <v>923</v>
      </c>
      <c r="E292" s="222" t="s">
        <v>924</v>
      </c>
    </row>
    <row r="293" customFormat="false" ht="12" hidden="false" customHeight="false" outlineLevel="0" collapsed="false">
      <c r="B293" s="220" t="n">
        <v>385</v>
      </c>
      <c r="D293" s="222" t="s">
        <v>925</v>
      </c>
      <c r="E293" s="222" t="s">
        <v>926</v>
      </c>
    </row>
    <row r="294" customFormat="false" ht="12" hidden="false" customHeight="false" outlineLevel="0" collapsed="false">
      <c r="B294" s="220" t="n">
        <v>386</v>
      </c>
      <c r="D294" s="222" t="s">
        <v>927</v>
      </c>
      <c r="E294" s="222" t="s">
        <v>928</v>
      </c>
    </row>
    <row r="295" customFormat="false" ht="12" hidden="false" customHeight="false" outlineLevel="0" collapsed="false">
      <c r="B295" s="220" t="n">
        <v>387</v>
      </c>
      <c r="D295" s="222" t="s">
        <v>929</v>
      </c>
      <c r="E295" s="222" t="s">
        <v>930</v>
      </c>
    </row>
    <row r="296" customFormat="false" ht="12" hidden="false" customHeight="false" outlineLevel="0" collapsed="false">
      <c r="B296" s="220" t="n">
        <v>388</v>
      </c>
      <c r="D296" s="222" t="s">
        <v>931</v>
      </c>
      <c r="E296" s="222" t="s">
        <v>932</v>
      </c>
    </row>
    <row r="297" customFormat="false" ht="12" hidden="false" customHeight="false" outlineLevel="0" collapsed="false">
      <c r="B297" s="220" t="n">
        <v>389</v>
      </c>
      <c r="D297" s="222" t="s">
        <v>933</v>
      </c>
      <c r="E297" s="222" t="s">
        <v>934</v>
      </c>
    </row>
    <row r="298" customFormat="false" ht="12" hidden="false" customHeight="false" outlineLevel="0" collapsed="false">
      <c r="B298" s="220" t="n">
        <v>390</v>
      </c>
      <c r="D298" s="222" t="s">
        <v>935</v>
      </c>
      <c r="E298" s="222" t="s">
        <v>936</v>
      </c>
    </row>
    <row r="299" customFormat="false" ht="36" hidden="false" customHeight="false" outlineLevel="0" collapsed="false">
      <c r="B299" s="220" t="n">
        <v>391</v>
      </c>
      <c r="D299" s="222" t="s">
        <v>937</v>
      </c>
      <c r="E299" s="222" t="s">
        <v>938</v>
      </c>
    </row>
    <row r="300" customFormat="false" ht="12" hidden="false" customHeight="false" outlineLevel="0" collapsed="false">
      <c r="B300" s="220" t="n">
        <v>392</v>
      </c>
      <c r="D300" s="222" t="s">
        <v>939</v>
      </c>
      <c r="E300" s="222" t="s">
        <v>940</v>
      </c>
    </row>
    <row r="301" customFormat="false" ht="24" hidden="false" customHeight="false" outlineLevel="0" collapsed="false">
      <c r="B301" s="220" t="n">
        <v>393</v>
      </c>
      <c r="D301" s="222" t="s">
        <v>941</v>
      </c>
      <c r="E301" s="222" t="s">
        <v>942</v>
      </c>
    </row>
    <row r="302" customFormat="false" ht="12" hidden="false" customHeight="false" outlineLevel="0" collapsed="false">
      <c r="B302" s="220" t="n">
        <v>394</v>
      </c>
      <c r="D302" s="222" t="s">
        <v>943</v>
      </c>
      <c r="E302" s="222" t="s">
        <v>944</v>
      </c>
    </row>
    <row r="303" customFormat="false" ht="24" hidden="false" customHeight="false" outlineLevel="0" collapsed="false">
      <c r="B303" s="220" t="n">
        <v>395</v>
      </c>
      <c r="D303" s="222" t="s">
        <v>945</v>
      </c>
      <c r="E303" s="222" t="s">
        <v>946</v>
      </c>
    </row>
    <row r="304" customFormat="false" ht="24" hidden="false" customHeight="false" outlineLevel="0" collapsed="false">
      <c r="B304" s="220" t="n">
        <v>396</v>
      </c>
      <c r="D304" s="222" t="s">
        <v>947</v>
      </c>
      <c r="E304" s="222" t="s">
        <v>948</v>
      </c>
    </row>
    <row r="305" customFormat="false" ht="24" hidden="false" customHeight="false" outlineLevel="0" collapsed="false">
      <c r="B305" s="220" t="n">
        <v>397</v>
      </c>
      <c r="D305" s="222" t="s">
        <v>949</v>
      </c>
      <c r="E305" s="222" t="s">
        <v>950</v>
      </c>
    </row>
    <row r="306" customFormat="false" ht="24" hidden="false" customHeight="false" outlineLevel="0" collapsed="false">
      <c r="B306" s="220" t="n">
        <v>398</v>
      </c>
      <c r="D306" s="222" t="s">
        <v>951</v>
      </c>
      <c r="E306" s="222" t="s">
        <v>952</v>
      </c>
    </row>
    <row r="307" customFormat="false" ht="24" hidden="false" customHeight="false" outlineLevel="0" collapsed="false">
      <c r="B307" s="220" t="n">
        <v>399</v>
      </c>
      <c r="D307" s="222" t="s">
        <v>953</v>
      </c>
      <c r="E307" s="222" t="s">
        <v>954</v>
      </c>
    </row>
    <row r="308" customFormat="false" ht="24" hidden="false" customHeight="false" outlineLevel="0" collapsed="false">
      <c r="B308" s="220" t="n">
        <v>400</v>
      </c>
      <c r="D308" s="222" t="s">
        <v>955</v>
      </c>
      <c r="E308" s="222" t="s">
        <v>956</v>
      </c>
    </row>
    <row r="309" customFormat="false" ht="24" hidden="false" customHeight="false" outlineLevel="0" collapsed="false">
      <c r="B309" s="220" t="n">
        <v>401</v>
      </c>
      <c r="D309" s="222" t="s">
        <v>957</v>
      </c>
      <c r="E309" s="222" t="s">
        <v>958</v>
      </c>
    </row>
    <row r="310" customFormat="false" ht="24" hidden="false" customHeight="false" outlineLevel="0" collapsed="false">
      <c r="B310" s="220" t="n">
        <v>402</v>
      </c>
      <c r="D310" s="222" t="s">
        <v>959</v>
      </c>
      <c r="E310" s="222" t="s">
        <v>960</v>
      </c>
    </row>
    <row r="311" customFormat="false" ht="24" hidden="false" customHeight="false" outlineLevel="0" collapsed="false">
      <c r="B311" s="220" t="n">
        <v>403</v>
      </c>
      <c r="D311" s="222" t="s">
        <v>961</v>
      </c>
      <c r="E311" s="222" t="s">
        <v>962</v>
      </c>
    </row>
    <row r="312" customFormat="false" ht="24" hidden="false" customHeight="false" outlineLevel="0" collapsed="false">
      <c r="B312" s="220" t="n">
        <v>404</v>
      </c>
      <c r="D312" s="222" t="s">
        <v>963</v>
      </c>
      <c r="E312" s="222" t="s">
        <v>964</v>
      </c>
    </row>
    <row r="313" customFormat="false" ht="24" hidden="false" customHeight="false" outlineLevel="0" collapsed="false">
      <c r="B313" s="220" t="n">
        <v>405</v>
      </c>
      <c r="D313" s="222" t="s">
        <v>965</v>
      </c>
      <c r="E313" s="222" t="s">
        <v>966</v>
      </c>
    </row>
    <row r="314" customFormat="false" ht="24" hidden="false" customHeight="false" outlineLevel="0" collapsed="false">
      <c r="B314" s="220" t="n">
        <v>406</v>
      </c>
      <c r="D314" s="222" t="s">
        <v>967</v>
      </c>
      <c r="E314" s="222" t="s">
        <v>968</v>
      </c>
    </row>
    <row r="315" customFormat="false" ht="24" hidden="false" customHeight="false" outlineLevel="0" collapsed="false">
      <c r="B315" s="220" t="n">
        <v>407</v>
      </c>
      <c r="D315" s="222" t="s">
        <v>969</v>
      </c>
      <c r="E315" s="222" t="s">
        <v>970</v>
      </c>
    </row>
    <row r="316" customFormat="false" ht="24" hidden="false" customHeight="false" outlineLevel="0" collapsed="false">
      <c r="B316" s="220" t="n">
        <v>408</v>
      </c>
      <c r="D316" s="222" t="s">
        <v>971</v>
      </c>
      <c r="E316" s="222" t="s">
        <v>972</v>
      </c>
    </row>
    <row r="317" customFormat="false" ht="24" hidden="false" customHeight="false" outlineLevel="0" collapsed="false">
      <c r="B317" s="220" t="n">
        <v>409</v>
      </c>
      <c r="D317" s="222" t="s">
        <v>973</v>
      </c>
      <c r="E317" s="222" t="s">
        <v>974</v>
      </c>
    </row>
    <row r="318" customFormat="false" ht="24" hidden="false" customHeight="false" outlineLevel="0" collapsed="false">
      <c r="B318" s="220" t="n">
        <v>410</v>
      </c>
      <c r="D318" s="222" t="s">
        <v>975</v>
      </c>
      <c r="E318" s="222" t="s">
        <v>976</v>
      </c>
    </row>
    <row r="319" customFormat="false" ht="24" hidden="false" customHeight="false" outlineLevel="0" collapsed="false">
      <c r="B319" s="220" t="n">
        <v>411</v>
      </c>
      <c r="D319" s="222" t="s">
        <v>977</v>
      </c>
      <c r="E319" s="222" t="s">
        <v>978</v>
      </c>
    </row>
    <row r="320" customFormat="false" ht="24" hidden="false" customHeight="false" outlineLevel="0" collapsed="false">
      <c r="B320" s="220" t="n">
        <v>412</v>
      </c>
      <c r="D320" s="222" t="s">
        <v>979</v>
      </c>
      <c r="E320" s="222" t="s">
        <v>980</v>
      </c>
    </row>
    <row r="321" customFormat="false" ht="24" hidden="false" customHeight="false" outlineLevel="0" collapsed="false">
      <c r="B321" s="220" t="n">
        <v>413</v>
      </c>
      <c r="D321" s="222" t="s">
        <v>981</v>
      </c>
      <c r="E321" s="222" t="s">
        <v>982</v>
      </c>
    </row>
    <row r="322" customFormat="false" ht="12" hidden="false" customHeight="false" outlineLevel="0" collapsed="false">
      <c r="B322" s="220" t="n">
        <v>414</v>
      </c>
      <c r="D322" s="222" t="s">
        <v>983</v>
      </c>
      <c r="E322" s="222" t="s">
        <v>984</v>
      </c>
    </row>
    <row r="323" customFormat="false" ht="12" hidden="false" customHeight="false" outlineLevel="0" collapsed="false">
      <c r="B323" s="220" t="n">
        <v>415</v>
      </c>
      <c r="D323" s="222" t="s">
        <v>985</v>
      </c>
      <c r="E323" s="222" t="s">
        <v>984</v>
      </c>
    </row>
    <row r="324" customFormat="false" ht="12" hidden="false" customHeight="false" outlineLevel="0" collapsed="false">
      <c r="B324" s="220" t="n">
        <v>416</v>
      </c>
      <c r="D324" s="222" t="s">
        <v>986</v>
      </c>
      <c r="E324" s="222" t="s">
        <v>987</v>
      </c>
    </row>
    <row r="325" customFormat="false" ht="24" hidden="false" customHeight="false" outlineLevel="0" collapsed="false">
      <c r="B325" s="220" t="n">
        <v>417</v>
      </c>
      <c r="D325" s="222" t="s">
        <v>988</v>
      </c>
      <c r="E325" s="222" t="s">
        <v>989</v>
      </c>
    </row>
    <row r="326" customFormat="false" ht="12" hidden="false" customHeight="false" outlineLevel="0" collapsed="false">
      <c r="B326" s="220" t="n">
        <v>418</v>
      </c>
      <c r="D326" s="222" t="s">
        <v>990</v>
      </c>
      <c r="E326" s="222" t="s">
        <v>991</v>
      </c>
    </row>
    <row r="327" customFormat="false" ht="24" hidden="false" customHeight="false" outlineLevel="0" collapsed="false">
      <c r="B327" s="220" t="n">
        <v>419</v>
      </c>
      <c r="D327" s="222" t="s">
        <v>992</v>
      </c>
      <c r="E327" s="222" t="s">
        <v>993</v>
      </c>
    </row>
    <row r="328" customFormat="false" ht="12" hidden="false" customHeight="false" outlineLevel="0" collapsed="false">
      <c r="B328" s="220" t="n">
        <v>420</v>
      </c>
      <c r="D328" s="222" t="s">
        <v>994</v>
      </c>
      <c r="E328" s="222" t="s">
        <v>995</v>
      </c>
    </row>
    <row r="329" customFormat="false" ht="24" hidden="false" customHeight="false" outlineLevel="0" collapsed="false">
      <c r="B329" s="220" t="n">
        <v>421</v>
      </c>
      <c r="D329" s="222" t="s">
        <v>996</v>
      </c>
      <c r="E329" s="222" t="s">
        <v>997</v>
      </c>
    </row>
    <row r="330" customFormat="false" ht="12" hidden="false" customHeight="false" outlineLevel="0" collapsed="false">
      <c r="B330" s="220" t="n">
        <v>422</v>
      </c>
      <c r="D330" s="222" t="s">
        <v>998</v>
      </c>
      <c r="E330" s="222" t="s">
        <v>999</v>
      </c>
    </row>
    <row r="331" customFormat="false" ht="24" hidden="false" customHeight="false" outlineLevel="0" collapsed="false">
      <c r="B331" s="220" t="n">
        <v>423</v>
      </c>
      <c r="D331" s="222" t="s">
        <v>1000</v>
      </c>
      <c r="E331" s="222" t="s">
        <v>1001</v>
      </c>
    </row>
    <row r="332" customFormat="false" ht="12" hidden="false" customHeight="false" outlineLevel="0" collapsed="false">
      <c r="B332" s="220" t="n">
        <v>424</v>
      </c>
      <c r="D332" s="222" t="s">
        <v>1002</v>
      </c>
      <c r="E332" s="222" t="s">
        <v>1003</v>
      </c>
    </row>
    <row r="333" customFormat="false" ht="36" hidden="false" customHeight="false" outlineLevel="0" collapsed="false">
      <c r="B333" s="220" t="n">
        <v>425</v>
      </c>
      <c r="D333" s="222" t="s">
        <v>1004</v>
      </c>
      <c r="E333" s="222" t="s">
        <v>1005</v>
      </c>
    </row>
    <row r="334" customFormat="false" ht="12" hidden="false" customHeight="false" outlineLevel="0" collapsed="false">
      <c r="B334" s="220" t="n">
        <v>426</v>
      </c>
      <c r="D334" s="222" t="s">
        <v>1006</v>
      </c>
      <c r="E334" s="222" t="s">
        <v>1007</v>
      </c>
    </row>
    <row r="335" customFormat="false" ht="24" hidden="false" customHeight="false" outlineLevel="0" collapsed="false">
      <c r="B335" s="220" t="n">
        <v>427</v>
      </c>
      <c r="D335" s="222" t="s">
        <v>1008</v>
      </c>
      <c r="E335" s="222" t="s">
        <v>1009</v>
      </c>
    </row>
    <row r="336" customFormat="false" ht="24" hidden="false" customHeight="false" outlineLevel="0" collapsed="false">
      <c r="B336" s="220" t="n">
        <v>428</v>
      </c>
      <c r="D336" s="222" t="s">
        <v>1010</v>
      </c>
      <c r="E336" s="222" t="s">
        <v>1011</v>
      </c>
    </row>
    <row r="337" customFormat="false" ht="24" hidden="false" customHeight="false" outlineLevel="0" collapsed="false">
      <c r="B337" s="220" t="n">
        <v>429</v>
      </c>
      <c r="D337" s="222" t="s">
        <v>1012</v>
      </c>
      <c r="E337" s="222" t="s">
        <v>1013</v>
      </c>
    </row>
    <row r="338" customFormat="false" ht="12" hidden="false" customHeight="false" outlineLevel="0" collapsed="false">
      <c r="B338" s="220" t="n">
        <v>430</v>
      </c>
      <c r="D338" s="222" t="s">
        <v>1014</v>
      </c>
      <c r="E338" s="222" t="s">
        <v>1015</v>
      </c>
    </row>
    <row r="339" customFormat="false" ht="12" hidden="false" customHeight="false" outlineLevel="0" collapsed="false">
      <c r="B339" s="220" t="n">
        <v>431</v>
      </c>
      <c r="D339" s="222" t="s">
        <v>1016</v>
      </c>
      <c r="E339" s="222" t="s">
        <v>1017</v>
      </c>
    </row>
    <row r="340" customFormat="false" ht="12" hidden="false" customHeight="false" outlineLevel="0" collapsed="false">
      <c r="B340" s="220" t="n">
        <v>432</v>
      </c>
      <c r="D340" s="222" t="s">
        <v>1018</v>
      </c>
      <c r="E340" s="222" t="s">
        <v>1019</v>
      </c>
    </row>
    <row r="341" customFormat="false" ht="12" hidden="false" customHeight="false" outlineLevel="0" collapsed="false">
      <c r="B341" s="220" t="n">
        <v>433</v>
      </c>
      <c r="D341" s="222" t="s">
        <v>1020</v>
      </c>
      <c r="E341" s="222" t="s">
        <v>1021</v>
      </c>
    </row>
    <row r="342" customFormat="false" ht="12" hidden="false" customHeight="false" outlineLevel="0" collapsed="false">
      <c r="B342" s="220" t="n">
        <v>434</v>
      </c>
      <c r="D342" s="222" t="s">
        <v>1022</v>
      </c>
      <c r="E342" s="222" t="s">
        <v>1023</v>
      </c>
    </row>
    <row r="343" customFormat="false" ht="12" hidden="false" customHeight="false" outlineLevel="0" collapsed="false">
      <c r="B343" s="220" t="n">
        <v>435</v>
      </c>
      <c r="D343" s="222" t="s">
        <v>1024</v>
      </c>
      <c r="E343" s="222" t="s">
        <v>1025</v>
      </c>
    </row>
    <row r="344" customFormat="false" ht="12" hidden="false" customHeight="false" outlineLevel="0" collapsed="false">
      <c r="B344" s="220" t="n">
        <v>436</v>
      </c>
      <c r="D344" s="222" t="s">
        <v>1026</v>
      </c>
      <c r="E344" s="222" t="s">
        <v>1027</v>
      </c>
    </row>
    <row r="345" customFormat="false" ht="36" hidden="false" customHeight="false" outlineLevel="0" collapsed="false">
      <c r="A345" s="225"/>
      <c r="B345" s="220" t="n">
        <v>437</v>
      </c>
      <c r="C345" s="231" t="s">
        <v>471</v>
      </c>
      <c r="D345" s="225" t="s">
        <v>1028</v>
      </c>
      <c r="E345" s="225" t="s">
        <v>1029</v>
      </c>
      <c r="F345" s="228"/>
    </row>
    <row r="346" customFormat="false" ht="36" hidden="false" customHeight="false" outlineLevel="0" collapsed="false">
      <c r="B346" s="220" t="n">
        <v>438</v>
      </c>
      <c r="D346" s="222" t="s">
        <v>1030</v>
      </c>
      <c r="E346" s="222" t="s">
        <v>1031</v>
      </c>
    </row>
    <row r="347" customFormat="false" ht="12" hidden="false" customHeight="false" outlineLevel="0" collapsed="false">
      <c r="B347" s="220" t="n">
        <v>439</v>
      </c>
      <c r="D347" s="222" t="s">
        <v>1032</v>
      </c>
      <c r="E347" s="222" t="s">
        <v>1033</v>
      </c>
    </row>
    <row r="348" customFormat="false" ht="12" hidden="false" customHeight="false" outlineLevel="0" collapsed="false">
      <c r="B348" s="220" t="n">
        <v>440</v>
      </c>
      <c r="D348" s="222" t="s">
        <v>1034</v>
      </c>
      <c r="E348" s="222" t="s">
        <v>1035</v>
      </c>
    </row>
    <row r="349" customFormat="false" ht="12" hidden="false" customHeight="false" outlineLevel="0" collapsed="false">
      <c r="B349" s="220" t="n">
        <v>441</v>
      </c>
      <c r="D349" s="222" t="s">
        <v>1036</v>
      </c>
      <c r="E349" s="222" t="s">
        <v>1037</v>
      </c>
    </row>
    <row r="350" customFormat="false" ht="24" hidden="false" customHeight="false" outlineLevel="0" collapsed="false">
      <c r="B350" s="220" t="n">
        <v>442</v>
      </c>
      <c r="D350" s="222" t="s">
        <v>1038</v>
      </c>
      <c r="E350" s="222" t="s">
        <v>1039</v>
      </c>
    </row>
    <row r="351" customFormat="false" ht="12" hidden="false" customHeight="false" outlineLevel="0" collapsed="false">
      <c r="B351" s="220" t="n">
        <v>443</v>
      </c>
      <c r="D351" s="222" t="s">
        <v>1040</v>
      </c>
      <c r="E351" s="222" t="s">
        <v>1041</v>
      </c>
    </row>
    <row r="352" customFormat="false" ht="12" hidden="false" customHeight="false" outlineLevel="0" collapsed="false">
      <c r="B352" s="220" t="n">
        <v>444</v>
      </c>
      <c r="D352" s="222" t="s">
        <v>1042</v>
      </c>
      <c r="E352" s="222" t="s">
        <v>1043</v>
      </c>
    </row>
    <row r="353" customFormat="false" ht="12" hidden="false" customHeight="false" outlineLevel="0" collapsed="false">
      <c r="B353" s="220" t="n">
        <v>445</v>
      </c>
      <c r="D353" s="222" t="s">
        <v>1044</v>
      </c>
      <c r="E353" s="222" t="s">
        <v>1045</v>
      </c>
    </row>
    <row r="354" customFormat="false" ht="12" hidden="false" customHeight="false" outlineLevel="0" collapsed="false">
      <c r="B354" s="220" t="n">
        <v>446</v>
      </c>
      <c r="D354" s="222" t="s">
        <v>1046</v>
      </c>
      <c r="E354" s="222" t="s">
        <v>1047</v>
      </c>
    </row>
    <row r="355" customFormat="false" ht="12" hidden="false" customHeight="false" outlineLevel="0" collapsed="false">
      <c r="B355" s="220" t="n">
        <v>447</v>
      </c>
      <c r="D355" s="222" t="s">
        <v>1048</v>
      </c>
      <c r="E355" s="222" t="s">
        <v>1049</v>
      </c>
    </row>
    <row r="356" customFormat="false" ht="12" hidden="false" customHeight="false" outlineLevel="0" collapsed="false">
      <c r="B356" s="220" t="n">
        <v>448</v>
      </c>
      <c r="D356" s="222" t="s">
        <v>1050</v>
      </c>
      <c r="E356" s="222" t="s">
        <v>1051</v>
      </c>
    </row>
    <row r="357" customFormat="false" ht="12" hidden="false" customHeight="false" outlineLevel="0" collapsed="false">
      <c r="B357" s="220" t="n">
        <v>449</v>
      </c>
      <c r="D357" s="222" t="s">
        <v>1052</v>
      </c>
      <c r="E357" s="222" t="s">
        <v>1053</v>
      </c>
    </row>
    <row r="358" customFormat="false" ht="24" hidden="false" customHeight="false" outlineLevel="0" collapsed="false">
      <c r="B358" s="220" t="n">
        <v>450</v>
      </c>
      <c r="D358" s="222" t="s">
        <v>1054</v>
      </c>
      <c r="E358" s="222" t="s">
        <v>1055</v>
      </c>
    </row>
    <row r="359" customFormat="false" ht="12" hidden="false" customHeight="false" outlineLevel="0" collapsed="false">
      <c r="B359" s="220" t="n">
        <v>451</v>
      </c>
      <c r="D359" s="222" t="s">
        <v>1056</v>
      </c>
      <c r="E359" s="222" t="s">
        <v>1057</v>
      </c>
    </row>
    <row r="360" customFormat="false" ht="12" hidden="false" customHeight="false" outlineLevel="0" collapsed="false">
      <c r="B360" s="220" t="n">
        <v>452</v>
      </c>
      <c r="D360" s="222" t="s">
        <v>1058</v>
      </c>
      <c r="E360" s="222" t="s">
        <v>1059</v>
      </c>
    </row>
    <row r="361" customFormat="false" ht="12" hidden="false" customHeight="false" outlineLevel="0" collapsed="false">
      <c r="B361" s="220" t="n">
        <v>453</v>
      </c>
      <c r="D361" s="222" t="s">
        <v>1060</v>
      </c>
      <c r="E361" s="222" t="s">
        <v>1061</v>
      </c>
    </row>
    <row r="362" customFormat="false" ht="36" hidden="false" customHeight="false" outlineLevel="0" collapsed="false">
      <c r="B362" s="220" t="n">
        <v>454</v>
      </c>
      <c r="D362" s="222" t="s">
        <v>1062</v>
      </c>
      <c r="E362" s="222" t="s">
        <v>1063</v>
      </c>
    </row>
    <row r="363" customFormat="false" ht="12" hidden="false" customHeight="false" outlineLevel="0" collapsed="false">
      <c r="B363" s="220" t="n">
        <v>455</v>
      </c>
      <c r="D363" s="222" t="s">
        <v>1064</v>
      </c>
      <c r="E363" s="222" t="s">
        <v>1065</v>
      </c>
    </row>
    <row r="364" customFormat="false" ht="12" hidden="false" customHeight="false" outlineLevel="0" collapsed="false">
      <c r="B364" s="220" t="n">
        <v>456</v>
      </c>
      <c r="D364" s="222" t="s">
        <v>1066</v>
      </c>
      <c r="E364" s="222" t="s">
        <v>1067</v>
      </c>
    </row>
    <row r="365" customFormat="false" ht="12" hidden="false" customHeight="false" outlineLevel="0" collapsed="false">
      <c r="B365" s="220" t="n">
        <v>457</v>
      </c>
      <c r="D365" s="222" t="s">
        <v>1068</v>
      </c>
      <c r="E365" s="222" t="s">
        <v>1069</v>
      </c>
    </row>
    <row r="366" customFormat="false" ht="12" hidden="false" customHeight="false" outlineLevel="0" collapsed="false">
      <c r="B366" s="220" t="n">
        <v>458</v>
      </c>
      <c r="D366" s="222" t="s">
        <v>1070</v>
      </c>
      <c r="E366" s="222" t="s">
        <v>1071</v>
      </c>
    </row>
    <row r="367" customFormat="false" ht="12" hidden="false" customHeight="false" outlineLevel="0" collapsed="false">
      <c r="B367" s="220" t="n">
        <v>459</v>
      </c>
      <c r="D367" s="222" t="s">
        <v>1072</v>
      </c>
      <c r="E367" s="222" t="s">
        <v>1073</v>
      </c>
    </row>
    <row r="368" customFormat="false" ht="24" hidden="false" customHeight="false" outlineLevel="0" collapsed="false">
      <c r="B368" s="220" t="n">
        <v>460</v>
      </c>
      <c r="D368" s="222" t="s">
        <v>1074</v>
      </c>
      <c r="E368" s="222" t="s">
        <v>1075</v>
      </c>
    </row>
    <row r="369" customFormat="false" ht="12" hidden="false" customHeight="false" outlineLevel="0" collapsed="false">
      <c r="B369" s="220" t="n">
        <v>461</v>
      </c>
      <c r="D369" s="222" t="s">
        <v>1076</v>
      </c>
      <c r="E369" s="222" t="s">
        <v>1077</v>
      </c>
    </row>
    <row r="370" customFormat="false" ht="12" hidden="false" customHeight="false" outlineLevel="0" collapsed="false">
      <c r="B370" s="220" t="n">
        <v>462</v>
      </c>
      <c r="D370" s="222" t="s">
        <v>1078</v>
      </c>
      <c r="E370" s="222" t="s">
        <v>1079</v>
      </c>
    </row>
    <row r="371" customFormat="false" ht="12" hidden="false" customHeight="false" outlineLevel="0" collapsed="false">
      <c r="B371" s="220" t="n">
        <v>463</v>
      </c>
      <c r="D371" s="222" t="s">
        <v>1080</v>
      </c>
      <c r="E371" s="222" t="s">
        <v>1081</v>
      </c>
    </row>
    <row r="372" customFormat="false" ht="24" hidden="false" customHeight="false" outlineLevel="0" collapsed="false">
      <c r="B372" s="220" t="n">
        <v>464</v>
      </c>
      <c r="D372" s="222" t="s">
        <v>1082</v>
      </c>
      <c r="E372" s="222" t="s">
        <v>1083</v>
      </c>
    </row>
    <row r="373" customFormat="false" ht="12" hidden="false" customHeight="false" outlineLevel="0" collapsed="false">
      <c r="B373" s="220" t="n">
        <v>465</v>
      </c>
      <c r="D373" s="222" t="s">
        <v>1084</v>
      </c>
      <c r="E373" s="222" t="s">
        <v>1085</v>
      </c>
    </row>
    <row r="374" customFormat="false" ht="12" hidden="false" customHeight="false" outlineLevel="0" collapsed="false">
      <c r="B374" s="220" t="n">
        <v>466</v>
      </c>
      <c r="D374" s="222" t="s">
        <v>1086</v>
      </c>
      <c r="E374" s="222" t="s">
        <v>1087</v>
      </c>
    </row>
    <row r="375" customFormat="false" ht="12" hidden="false" customHeight="false" outlineLevel="0" collapsed="false">
      <c r="B375" s="220" t="n">
        <v>467</v>
      </c>
      <c r="D375" s="222" t="s">
        <v>1088</v>
      </c>
      <c r="E375" s="222" t="s">
        <v>1089</v>
      </c>
    </row>
    <row r="376" customFormat="false" ht="12" hidden="false" customHeight="false" outlineLevel="0" collapsed="false">
      <c r="B376" s="220" t="n">
        <v>468</v>
      </c>
      <c r="D376" s="222" t="s">
        <v>1090</v>
      </c>
      <c r="E376" s="222" t="s">
        <v>1091</v>
      </c>
    </row>
    <row r="377" customFormat="false" ht="24" hidden="false" customHeight="false" outlineLevel="0" collapsed="false">
      <c r="B377" s="220" t="n">
        <v>469</v>
      </c>
      <c r="D377" s="222" t="s">
        <v>1092</v>
      </c>
      <c r="E377" s="222" t="s">
        <v>1093</v>
      </c>
    </row>
    <row r="378" customFormat="false" ht="12" hidden="false" customHeight="false" outlineLevel="0" collapsed="false">
      <c r="B378" s="220" t="n">
        <v>470</v>
      </c>
      <c r="D378" s="222" t="s">
        <v>1094</v>
      </c>
      <c r="E378" s="222" t="s">
        <v>1095</v>
      </c>
    </row>
    <row r="379" customFormat="false" ht="12" hidden="false" customHeight="false" outlineLevel="0" collapsed="false">
      <c r="B379" s="220" t="n">
        <v>471</v>
      </c>
      <c r="D379" s="222" t="s">
        <v>1096</v>
      </c>
      <c r="E379" s="222" t="s">
        <v>1097</v>
      </c>
    </row>
    <row r="380" customFormat="false" ht="12" hidden="false" customHeight="false" outlineLevel="0" collapsed="false">
      <c r="B380" s="220" t="n">
        <v>472</v>
      </c>
      <c r="D380" s="222" t="s">
        <v>1098</v>
      </c>
      <c r="E380" s="222" t="s">
        <v>1099</v>
      </c>
    </row>
    <row r="381" customFormat="false" ht="36" hidden="false" customHeight="false" outlineLevel="0" collapsed="false">
      <c r="B381" s="220" t="n">
        <v>473</v>
      </c>
      <c r="D381" s="222" t="s">
        <v>1100</v>
      </c>
      <c r="E381" s="222" t="s">
        <v>1101</v>
      </c>
    </row>
    <row r="382" customFormat="false" ht="12" hidden="false" customHeight="false" outlineLevel="0" collapsed="false">
      <c r="B382" s="220" t="n">
        <v>474</v>
      </c>
      <c r="D382" s="222" t="s">
        <v>1102</v>
      </c>
      <c r="E382" s="222" t="s">
        <v>315</v>
      </c>
    </row>
    <row r="383" customFormat="false" ht="12" hidden="false" customHeight="false" outlineLevel="0" collapsed="false">
      <c r="A383" s="226"/>
      <c r="B383" s="220" t="n">
        <v>475</v>
      </c>
      <c r="C383" s="227" t="s">
        <v>418</v>
      </c>
      <c r="D383" s="225" t="s">
        <v>1103</v>
      </c>
      <c r="E383" s="225" t="s">
        <v>1104</v>
      </c>
      <c r="F383" s="228"/>
    </row>
    <row r="384" customFormat="false" ht="12" hidden="false" customHeight="false" outlineLevel="0" collapsed="false">
      <c r="A384" s="226"/>
      <c r="B384" s="220" t="n">
        <v>476</v>
      </c>
      <c r="C384" s="227" t="s">
        <v>418</v>
      </c>
      <c r="D384" s="225" t="s">
        <v>1105</v>
      </c>
      <c r="E384" s="225" t="s">
        <v>1106</v>
      </c>
      <c r="F384" s="228"/>
    </row>
    <row r="385" customFormat="false" ht="12" hidden="false" customHeight="false" outlineLevel="0" collapsed="false">
      <c r="B385" s="220" t="n">
        <v>477</v>
      </c>
      <c r="D385" s="222" t="s">
        <v>1107</v>
      </c>
      <c r="E385" s="225" t="s">
        <v>1108</v>
      </c>
    </row>
    <row r="386" customFormat="false" ht="12" hidden="false" customHeight="false" outlineLevel="0" collapsed="false">
      <c r="B386" s="220" t="n">
        <v>478</v>
      </c>
      <c r="D386" s="222" t="s">
        <v>1109</v>
      </c>
      <c r="E386" s="222" t="s">
        <v>1110</v>
      </c>
    </row>
    <row r="387" customFormat="false" ht="12" hidden="false" customHeight="false" outlineLevel="0" collapsed="false">
      <c r="B387" s="220" t="n">
        <v>479</v>
      </c>
      <c r="D387" s="222" t="s">
        <v>1111</v>
      </c>
      <c r="E387" s="222" t="s">
        <v>1112</v>
      </c>
    </row>
    <row r="388" customFormat="false" ht="24" hidden="false" customHeight="false" outlineLevel="0" collapsed="false">
      <c r="B388" s="220" t="n">
        <v>480</v>
      </c>
      <c r="D388" s="222" t="s">
        <v>1113</v>
      </c>
      <c r="E388" s="222" t="s">
        <v>1114</v>
      </c>
    </row>
    <row r="389" customFormat="false" ht="12" hidden="false" customHeight="false" outlineLevel="0" collapsed="false">
      <c r="B389" s="220" t="n">
        <v>481</v>
      </c>
      <c r="D389" s="222" t="s">
        <v>1115</v>
      </c>
      <c r="E389" s="222" t="s">
        <v>1116</v>
      </c>
    </row>
    <row r="390" customFormat="false" ht="24" hidden="false" customHeight="false" outlineLevel="0" collapsed="false">
      <c r="B390" s="220" t="n">
        <v>482</v>
      </c>
      <c r="D390" s="222" t="s">
        <v>1117</v>
      </c>
      <c r="E390" s="222" t="s">
        <v>1118</v>
      </c>
    </row>
    <row r="391" customFormat="false" ht="12" hidden="false" customHeight="false" outlineLevel="0" collapsed="false">
      <c r="B391" s="220" t="n">
        <v>483</v>
      </c>
      <c r="D391" s="222" t="s">
        <v>1119</v>
      </c>
      <c r="E391" s="222" t="s">
        <v>1120</v>
      </c>
    </row>
    <row r="392" customFormat="false" ht="12" hidden="false" customHeight="false" outlineLevel="0" collapsed="false">
      <c r="B392" s="220" t="n">
        <v>484</v>
      </c>
      <c r="D392" s="222" t="s">
        <v>1121</v>
      </c>
      <c r="E392" s="222" t="s">
        <v>1122</v>
      </c>
    </row>
    <row r="393" customFormat="false" ht="12" hidden="false" customHeight="false" outlineLevel="0" collapsed="false">
      <c r="B393" s="220" t="n">
        <v>485</v>
      </c>
      <c r="D393" s="222" t="s">
        <v>1123</v>
      </c>
      <c r="E393" s="222" t="s">
        <v>1124</v>
      </c>
    </row>
    <row r="394" customFormat="false" ht="12" hidden="false" customHeight="false" outlineLevel="0" collapsed="false">
      <c r="B394" s="220" t="n">
        <v>486</v>
      </c>
      <c r="D394" s="222" t="s">
        <v>1125</v>
      </c>
      <c r="E394" s="222" t="s">
        <v>1126</v>
      </c>
    </row>
    <row r="395" customFormat="false" ht="12" hidden="false" customHeight="false" outlineLevel="0" collapsed="false">
      <c r="B395" s="220" t="n">
        <v>487</v>
      </c>
      <c r="D395" s="222" t="s">
        <v>1127</v>
      </c>
      <c r="E395" s="222" t="s">
        <v>1128</v>
      </c>
    </row>
    <row r="396" customFormat="false" ht="12" hidden="false" customHeight="false" outlineLevel="0" collapsed="false">
      <c r="B396" s="220" t="n">
        <v>488</v>
      </c>
      <c r="D396" s="222" t="s">
        <v>1129</v>
      </c>
      <c r="E396" s="222" t="s">
        <v>1130</v>
      </c>
    </row>
    <row r="397" customFormat="false" ht="12" hidden="false" customHeight="false" outlineLevel="0" collapsed="false">
      <c r="B397" s="220" t="n">
        <v>489</v>
      </c>
      <c r="D397" s="222" t="s">
        <v>176</v>
      </c>
      <c r="E397" s="222" t="s">
        <v>176</v>
      </c>
    </row>
    <row r="398" customFormat="false" ht="12" hidden="false" customHeight="false" outlineLevel="0" collapsed="false">
      <c r="B398" s="220" t="n">
        <v>490</v>
      </c>
      <c r="D398" s="222" t="s">
        <v>1131</v>
      </c>
      <c r="E398" s="222" t="s">
        <v>1132</v>
      </c>
    </row>
    <row r="399" customFormat="false" ht="12" hidden="false" customHeight="false" outlineLevel="0" collapsed="false">
      <c r="B399" s="220" t="n">
        <v>491</v>
      </c>
      <c r="D399" s="222" t="s">
        <v>1133</v>
      </c>
      <c r="E399" s="222" t="s">
        <v>1134</v>
      </c>
    </row>
    <row r="400" customFormat="false" ht="12" hidden="false" customHeight="false" outlineLevel="0" collapsed="false">
      <c r="B400" s="220" t="n">
        <v>492</v>
      </c>
      <c r="D400" s="222" t="s">
        <v>1135</v>
      </c>
      <c r="E400" s="222" t="s">
        <v>1135</v>
      </c>
    </row>
    <row r="401" customFormat="false" ht="12" hidden="false" customHeight="false" outlineLevel="0" collapsed="false">
      <c r="B401" s="220" t="n">
        <v>493</v>
      </c>
      <c r="D401" s="222" t="s">
        <v>1136</v>
      </c>
    </row>
    <row r="402" customFormat="false" ht="12" hidden="false" customHeight="false" outlineLevel="0" collapsed="false">
      <c r="B402" s="220" t="n">
        <v>494</v>
      </c>
      <c r="D402" s="222" t="s">
        <v>1137</v>
      </c>
      <c r="E402" s="222" t="s">
        <v>1138</v>
      </c>
    </row>
    <row r="403" customFormat="false" ht="12" hidden="false" customHeight="false" outlineLevel="0" collapsed="false">
      <c r="B403" s="220" t="n">
        <v>495</v>
      </c>
      <c r="D403" s="222" t="s">
        <v>1139</v>
      </c>
      <c r="E403" s="222" t="s">
        <v>1140</v>
      </c>
    </row>
    <row r="404" customFormat="false" ht="12" hidden="false" customHeight="false" outlineLevel="0" collapsed="false">
      <c r="B404" s="220" t="n">
        <v>496</v>
      </c>
      <c r="D404" s="222" t="s">
        <v>1141</v>
      </c>
      <c r="E404" s="222" t="s">
        <v>1142</v>
      </c>
    </row>
    <row r="405" customFormat="false" ht="12" hidden="false" customHeight="false" outlineLevel="0" collapsed="false">
      <c r="B405" s="220" t="n">
        <v>497</v>
      </c>
      <c r="D405" s="222" t="s">
        <v>1143</v>
      </c>
      <c r="E405" s="222" t="s">
        <v>1140</v>
      </c>
    </row>
    <row r="406" customFormat="false" ht="12" hidden="false" customHeight="false" outlineLevel="0" collapsed="false">
      <c r="B406" s="220" t="n">
        <v>498</v>
      </c>
      <c r="D406" s="222" t="s">
        <v>1144</v>
      </c>
      <c r="E406" s="222" t="s">
        <v>189</v>
      </c>
    </row>
    <row r="407" customFormat="false" ht="12" hidden="false" customHeight="false" outlineLevel="0" collapsed="false">
      <c r="B407" s="220" t="n">
        <v>499</v>
      </c>
      <c r="D407" s="222" t="s">
        <v>1145</v>
      </c>
      <c r="E407" s="222" t="s">
        <v>1146</v>
      </c>
    </row>
    <row r="408" customFormat="false" ht="12" hidden="false" customHeight="false" outlineLevel="0" collapsed="false">
      <c r="B408" s="220" t="n">
        <v>500</v>
      </c>
      <c r="D408" s="222" t="s">
        <v>1147</v>
      </c>
      <c r="E408" s="222" t="s">
        <v>1148</v>
      </c>
    </row>
    <row r="409" customFormat="false" ht="12" hidden="false" customHeight="false" outlineLevel="0" collapsed="false">
      <c r="B409" s="220" t="n">
        <v>501</v>
      </c>
      <c r="D409" s="222" t="s">
        <v>1149</v>
      </c>
      <c r="E409" s="222" t="s">
        <v>76</v>
      </c>
    </row>
    <row r="410" customFormat="false" ht="12" hidden="false" customHeight="false" outlineLevel="0" collapsed="false">
      <c r="B410" s="220" t="n">
        <v>502</v>
      </c>
      <c r="D410" s="222" t="s">
        <v>1150</v>
      </c>
    </row>
    <row r="411" customFormat="false" ht="12" hidden="false" customHeight="false" outlineLevel="0" collapsed="false">
      <c r="B411" s="220" t="n">
        <v>503</v>
      </c>
      <c r="D411" s="222" t="s">
        <v>1151</v>
      </c>
    </row>
    <row r="412" customFormat="false" ht="12" hidden="false" customHeight="false" outlineLevel="0" collapsed="false">
      <c r="B412" s="220" t="n">
        <v>504</v>
      </c>
      <c r="D412" s="222" t="s">
        <v>1152</v>
      </c>
      <c r="E412" s="222" t="s">
        <v>1153</v>
      </c>
    </row>
    <row r="413" customFormat="false" ht="12" hidden="false" customHeight="false" outlineLevel="0" collapsed="false">
      <c r="B413" s="220" t="n">
        <v>505</v>
      </c>
      <c r="D413" s="222" t="s">
        <v>1154</v>
      </c>
      <c r="E413" s="222" t="s">
        <v>1155</v>
      </c>
    </row>
    <row r="414" customFormat="false" ht="12" hidden="false" customHeight="false" outlineLevel="0" collapsed="false">
      <c r="B414" s="220" t="n">
        <v>506</v>
      </c>
      <c r="D414" s="222" t="s">
        <v>1156</v>
      </c>
      <c r="E414" s="222" t="s">
        <v>1157</v>
      </c>
    </row>
    <row r="415" customFormat="false" ht="12" hidden="false" customHeight="false" outlineLevel="0" collapsed="false">
      <c r="B415" s="220" t="n">
        <v>507</v>
      </c>
      <c r="D415" s="222" t="s">
        <v>1158</v>
      </c>
      <c r="E415" s="222" t="s">
        <v>1159</v>
      </c>
    </row>
    <row r="416" customFormat="false" ht="12" hidden="false" customHeight="false" outlineLevel="0" collapsed="false">
      <c r="B416" s="220" t="n">
        <v>508</v>
      </c>
      <c r="D416" s="222" t="s">
        <v>1160</v>
      </c>
      <c r="E416" s="222" t="s">
        <v>1157</v>
      </c>
    </row>
    <row r="417" customFormat="false" ht="24" hidden="false" customHeight="false" outlineLevel="0" collapsed="false">
      <c r="A417" s="225"/>
      <c r="B417" s="220" t="n">
        <v>509</v>
      </c>
      <c r="C417" s="225"/>
      <c r="D417" s="225" t="s">
        <v>1161</v>
      </c>
      <c r="E417" s="225" t="s">
        <v>1162</v>
      </c>
      <c r="F417" s="228"/>
    </row>
    <row r="418" customFormat="false" ht="12" hidden="false" customHeight="false" outlineLevel="0" collapsed="false">
      <c r="B418" s="220" t="n">
        <v>510</v>
      </c>
      <c r="D418" s="222" t="s">
        <v>1163</v>
      </c>
      <c r="E418" s="222" t="s">
        <v>1163</v>
      </c>
    </row>
    <row r="419" customFormat="false" ht="12" hidden="false" customHeight="false" outlineLevel="0" collapsed="false">
      <c r="B419" s="220" t="n">
        <v>511</v>
      </c>
      <c r="D419" s="222" t="s">
        <v>1164</v>
      </c>
      <c r="E419" s="222" t="s">
        <v>1165</v>
      </c>
    </row>
    <row r="420" customFormat="false" ht="12" hidden="false" customHeight="false" outlineLevel="0" collapsed="false">
      <c r="B420" s="220" t="n">
        <v>512</v>
      </c>
      <c r="D420" s="222" t="s">
        <v>1166</v>
      </c>
      <c r="E420" s="222" t="s">
        <v>1167</v>
      </c>
    </row>
    <row r="421" customFormat="false" ht="12" hidden="false" customHeight="false" outlineLevel="0" collapsed="false">
      <c r="B421" s="220" t="n">
        <v>513</v>
      </c>
      <c r="D421" s="222" t="s">
        <v>1168</v>
      </c>
      <c r="E421" s="222" t="s">
        <v>1169</v>
      </c>
    </row>
    <row r="422" customFormat="false" ht="12" hidden="false" customHeight="false" outlineLevel="0" collapsed="false">
      <c r="B422" s="220" t="n">
        <v>514</v>
      </c>
      <c r="D422" s="222" t="s">
        <v>1170</v>
      </c>
      <c r="E422" s="222" t="s">
        <v>1171</v>
      </c>
    </row>
    <row r="423" customFormat="false" ht="12" hidden="false" customHeight="false" outlineLevel="0" collapsed="false">
      <c r="B423" s="220" t="n">
        <v>515</v>
      </c>
      <c r="D423" s="222" t="s">
        <v>1172</v>
      </c>
      <c r="E423" s="222" t="s">
        <v>1173</v>
      </c>
    </row>
    <row r="424" customFormat="false" ht="12" hidden="false" customHeight="false" outlineLevel="0" collapsed="false">
      <c r="B424" s="220" t="n">
        <v>516</v>
      </c>
      <c r="D424" s="222" t="s">
        <v>1174</v>
      </c>
      <c r="E424" s="222" t="s">
        <v>1175</v>
      </c>
    </row>
    <row r="425" customFormat="false" ht="12" hidden="false" customHeight="false" outlineLevel="0" collapsed="false">
      <c r="B425" s="220" t="n">
        <v>517</v>
      </c>
      <c r="D425" s="222" t="s">
        <v>1176</v>
      </c>
      <c r="E425" s="222" t="s">
        <v>1177</v>
      </c>
    </row>
    <row r="426" customFormat="false" ht="24" hidden="false" customHeight="false" outlineLevel="0" collapsed="false">
      <c r="B426" s="220" t="n">
        <v>518</v>
      </c>
      <c r="D426" s="222" t="s">
        <v>1178</v>
      </c>
      <c r="E426" s="222" t="s">
        <v>1179</v>
      </c>
    </row>
    <row r="427" customFormat="false" ht="12" hidden="false" customHeight="false" outlineLevel="0" collapsed="false">
      <c r="B427" s="220" t="n">
        <v>519</v>
      </c>
      <c r="D427" s="222" t="s">
        <v>1180</v>
      </c>
      <c r="E427" s="222" t="s">
        <v>1175</v>
      </c>
    </row>
    <row r="428" customFormat="false" ht="12" hidden="false" customHeight="false" outlineLevel="0" collapsed="false">
      <c r="B428" s="220" t="n">
        <v>520</v>
      </c>
      <c r="D428" s="222" t="s">
        <v>1181</v>
      </c>
      <c r="E428" s="222" t="s">
        <v>374</v>
      </c>
    </row>
    <row r="429" customFormat="false" ht="12" hidden="false" customHeight="false" outlineLevel="0" collapsed="false">
      <c r="B429" s="220" t="n">
        <v>521</v>
      </c>
      <c r="D429" s="222" t="s">
        <v>1182</v>
      </c>
      <c r="E429" s="222" t="s">
        <v>1183</v>
      </c>
    </row>
    <row r="430" customFormat="false" ht="12" hidden="false" customHeight="false" outlineLevel="0" collapsed="false">
      <c r="B430" s="220" t="n">
        <v>522</v>
      </c>
      <c r="D430" s="222" t="s">
        <v>1184</v>
      </c>
      <c r="E430" s="222" t="s">
        <v>1185</v>
      </c>
    </row>
    <row r="431" s="225" customFormat="true" ht="12" hidden="false" customHeight="false" outlineLevel="0" collapsed="false">
      <c r="A431" s="219"/>
      <c r="B431" s="220" t="n">
        <v>523</v>
      </c>
      <c r="C431" s="221"/>
      <c r="D431" s="222" t="s">
        <v>1186</v>
      </c>
      <c r="E431" s="222" t="s">
        <v>1187</v>
      </c>
      <c r="F431" s="219"/>
    </row>
    <row r="432" s="225" customFormat="true" ht="12" hidden="false" customHeight="false" outlineLevel="0" collapsed="false">
      <c r="A432" s="219"/>
      <c r="B432" s="220" t="n">
        <v>524</v>
      </c>
      <c r="C432" s="221"/>
      <c r="D432" s="222" t="s">
        <v>1188</v>
      </c>
      <c r="E432" s="222" t="s">
        <v>1189</v>
      </c>
      <c r="F432" s="219"/>
    </row>
    <row r="433" s="226" customFormat="true" ht="12" hidden="false" customHeight="false" outlineLevel="0" collapsed="false">
      <c r="A433" s="219"/>
      <c r="B433" s="220" t="n">
        <v>525</v>
      </c>
      <c r="C433" s="221"/>
      <c r="D433" s="222" t="s">
        <v>1190</v>
      </c>
      <c r="E433" s="222" t="s">
        <v>1173</v>
      </c>
      <c r="F433" s="219"/>
    </row>
    <row r="434" s="226" customFormat="true" ht="24" hidden="false" customHeight="false" outlineLevel="0" collapsed="false">
      <c r="A434" s="219"/>
      <c r="B434" s="220" t="n">
        <v>526</v>
      </c>
      <c r="C434" s="221"/>
      <c r="D434" s="222" t="s">
        <v>1191</v>
      </c>
      <c r="E434" s="222" t="s">
        <v>1192</v>
      </c>
      <c r="F434" s="219"/>
    </row>
    <row r="435" s="226" customFormat="true" ht="24" hidden="false" customHeight="false" outlineLevel="0" collapsed="false">
      <c r="A435" s="219"/>
      <c r="B435" s="220" t="n">
        <v>527</v>
      </c>
      <c r="C435" s="221"/>
      <c r="D435" s="222" t="s">
        <v>1193</v>
      </c>
      <c r="E435" s="222" t="s">
        <v>1194</v>
      </c>
      <c r="F435" s="219"/>
    </row>
    <row r="436" s="226" customFormat="true" ht="12" hidden="false" customHeight="false" outlineLevel="0" collapsed="false">
      <c r="A436" s="219"/>
      <c r="B436" s="220" t="n">
        <v>528</v>
      </c>
      <c r="C436" s="221"/>
      <c r="D436" s="222" t="s">
        <v>1195</v>
      </c>
      <c r="E436" s="222" t="s">
        <v>1196</v>
      </c>
      <c r="F436" s="219"/>
    </row>
    <row r="437" s="226" customFormat="true" ht="24" hidden="false" customHeight="false" outlineLevel="0" collapsed="false">
      <c r="A437" s="219"/>
      <c r="B437" s="220" t="n">
        <v>529</v>
      </c>
      <c r="C437" s="221"/>
      <c r="D437" s="222" t="s">
        <v>1197</v>
      </c>
      <c r="E437" s="222" t="s">
        <v>1198</v>
      </c>
      <c r="F437" s="219"/>
    </row>
    <row r="438" s="226" customFormat="true" ht="12" hidden="false" customHeight="false" outlineLevel="0" collapsed="false">
      <c r="A438" s="219"/>
      <c r="B438" s="220" t="n">
        <v>530</v>
      </c>
      <c r="C438" s="221"/>
      <c r="D438" s="222" t="s">
        <v>1199</v>
      </c>
      <c r="E438" s="222" t="s">
        <v>1200</v>
      </c>
      <c r="F438" s="219"/>
    </row>
    <row r="439" s="226" customFormat="true" ht="12" hidden="false" customHeight="false" outlineLevel="0" collapsed="false">
      <c r="A439" s="219"/>
      <c r="B439" s="220" t="n">
        <v>531</v>
      </c>
      <c r="C439" s="221"/>
      <c r="D439" s="222" t="s">
        <v>1201</v>
      </c>
      <c r="E439" s="222" t="s">
        <v>1202</v>
      </c>
      <c r="F439" s="219"/>
    </row>
    <row r="440" s="226" customFormat="true" ht="12" hidden="false" customHeight="false" outlineLevel="0" collapsed="false">
      <c r="A440" s="219"/>
      <c r="B440" s="220" t="n">
        <v>532</v>
      </c>
      <c r="C440" s="221"/>
      <c r="D440" s="222" t="s">
        <v>1203</v>
      </c>
      <c r="E440" s="222" t="s">
        <v>1204</v>
      </c>
      <c r="F440" s="219"/>
    </row>
    <row r="441" s="226" customFormat="true" ht="12" hidden="false" customHeight="false" outlineLevel="0" collapsed="false">
      <c r="A441" s="219"/>
      <c r="B441" s="220" t="n">
        <v>533</v>
      </c>
      <c r="C441" s="221"/>
      <c r="D441" s="222" t="s">
        <v>1205</v>
      </c>
      <c r="E441" s="222" t="s">
        <v>1206</v>
      </c>
      <c r="F441" s="219"/>
    </row>
    <row r="442" s="226" customFormat="true" ht="12" hidden="false" customHeight="false" outlineLevel="0" collapsed="false">
      <c r="A442" s="219"/>
      <c r="B442" s="220" t="n">
        <v>534</v>
      </c>
      <c r="C442" s="221"/>
      <c r="D442" s="222" t="s">
        <v>1207</v>
      </c>
      <c r="E442" s="222" t="s">
        <v>1208</v>
      </c>
      <c r="F442" s="219"/>
    </row>
    <row r="443" s="226" customFormat="true" ht="12" hidden="false" customHeight="false" outlineLevel="0" collapsed="false">
      <c r="A443" s="219"/>
      <c r="B443" s="220" t="n">
        <v>535</v>
      </c>
      <c r="C443" s="221"/>
      <c r="D443" s="222" t="s">
        <v>1209</v>
      </c>
      <c r="E443" s="222" t="s">
        <v>1210</v>
      </c>
      <c r="F443" s="219"/>
    </row>
    <row r="444" customFormat="false" ht="12" hidden="false" customHeight="false" outlineLevel="0" collapsed="false">
      <c r="B444" s="220" t="n">
        <v>536</v>
      </c>
      <c r="D444" s="222" t="s">
        <v>1211</v>
      </c>
      <c r="E444" s="222" t="s">
        <v>1212</v>
      </c>
    </row>
    <row r="445" customFormat="false" ht="12" hidden="false" customHeight="false" outlineLevel="0" collapsed="false">
      <c r="B445" s="220" t="n">
        <v>537</v>
      </c>
      <c r="D445" s="222" t="s">
        <v>1213</v>
      </c>
      <c r="E445" s="222" t="s">
        <v>1214</v>
      </c>
    </row>
    <row r="446" customFormat="false" ht="12" hidden="false" customHeight="false" outlineLevel="0" collapsed="false">
      <c r="B446" s="220" t="n">
        <v>538</v>
      </c>
      <c r="D446" s="222" t="s">
        <v>1215</v>
      </c>
      <c r="E446" s="222" t="s">
        <v>1216</v>
      </c>
    </row>
    <row r="447" customFormat="false" ht="12" hidden="false" customHeight="false" outlineLevel="0" collapsed="false">
      <c r="B447" s="220" t="n">
        <v>539</v>
      </c>
      <c r="D447" s="222" t="s">
        <v>1217</v>
      </c>
      <c r="E447" s="222" t="s">
        <v>1218</v>
      </c>
    </row>
    <row r="448" customFormat="false" ht="12" hidden="false" customHeight="false" outlineLevel="0" collapsed="false">
      <c r="B448" s="220" t="n">
        <v>540</v>
      </c>
      <c r="D448" s="222" t="s">
        <v>1219</v>
      </c>
      <c r="E448" s="222" t="s">
        <v>1220</v>
      </c>
    </row>
    <row r="449" customFormat="false" ht="12" hidden="false" customHeight="false" outlineLevel="0" collapsed="false">
      <c r="B449" s="220" t="n">
        <v>541</v>
      </c>
      <c r="D449" s="222" t="s">
        <v>1221</v>
      </c>
      <c r="E449" s="222" t="s">
        <v>1222</v>
      </c>
    </row>
    <row r="450" customFormat="false" ht="12" hidden="false" customHeight="false" outlineLevel="0" collapsed="false">
      <c r="B450" s="220" t="n">
        <v>542</v>
      </c>
      <c r="C450" s="221" t="s">
        <v>1223</v>
      </c>
      <c r="D450" s="222" t="s">
        <v>1224</v>
      </c>
      <c r="E450" s="232" t="s">
        <v>1225</v>
      </c>
    </row>
    <row r="451" customFormat="false" ht="12" hidden="false" customHeight="false" outlineLevel="0" collapsed="false">
      <c r="B451" s="220" t="n">
        <v>543</v>
      </c>
      <c r="C451" s="221" t="s">
        <v>1223</v>
      </c>
      <c r="D451" s="222" t="s">
        <v>1226</v>
      </c>
      <c r="E451" s="232" t="s">
        <v>1227</v>
      </c>
    </row>
    <row r="452" customFormat="false" ht="12" hidden="false" customHeight="false" outlineLevel="0" collapsed="false">
      <c r="B452" s="220" t="n">
        <v>544</v>
      </c>
      <c r="C452" s="221" t="s">
        <v>1223</v>
      </c>
      <c r="D452" s="219" t="s">
        <v>1228</v>
      </c>
      <c r="E452" s="232" t="s">
        <v>1229</v>
      </c>
    </row>
    <row r="453" customFormat="false" ht="12" hidden="false" customHeight="false" outlineLevel="0" collapsed="false">
      <c r="B453" s="220" t="n">
        <v>545</v>
      </c>
      <c r="C453" s="221" t="s">
        <v>1223</v>
      </c>
      <c r="D453" s="219" t="s">
        <v>1230</v>
      </c>
      <c r="E453" s="232" t="s">
        <v>1231</v>
      </c>
    </row>
    <row r="454" customFormat="false" ht="12" hidden="false" customHeight="false" outlineLevel="0" collapsed="false">
      <c r="B454" s="220" t="n">
        <v>546</v>
      </c>
      <c r="C454" s="221" t="s">
        <v>1223</v>
      </c>
      <c r="D454" s="219" t="s">
        <v>489</v>
      </c>
      <c r="E454" s="232" t="s">
        <v>490</v>
      </c>
    </row>
    <row r="455" customFormat="false" ht="12" hidden="false" customHeight="false" outlineLevel="0" collapsed="false">
      <c r="B455" s="220" t="n">
        <v>547</v>
      </c>
      <c r="C455" s="221" t="s">
        <v>1223</v>
      </c>
      <c r="D455" s="219" t="s">
        <v>477</v>
      </c>
      <c r="E455" s="232" t="s">
        <v>478</v>
      </c>
    </row>
    <row r="456" customFormat="false" ht="12" hidden="false" customHeight="false" outlineLevel="0" collapsed="false">
      <c r="B456" s="220" t="n">
        <v>548</v>
      </c>
      <c r="C456" s="221" t="s">
        <v>1223</v>
      </c>
      <c r="D456" s="219" t="s">
        <v>1232</v>
      </c>
      <c r="E456" s="232" t="s">
        <v>1233</v>
      </c>
    </row>
    <row r="457" customFormat="false" ht="12" hidden="false" customHeight="false" outlineLevel="0" collapsed="false">
      <c r="B457" s="220" t="n">
        <v>549</v>
      </c>
      <c r="C457" s="221" t="s">
        <v>1223</v>
      </c>
      <c r="D457" s="219" t="s">
        <v>1234</v>
      </c>
      <c r="E457" s="232" t="s">
        <v>1235</v>
      </c>
    </row>
    <row r="458" customFormat="false" ht="12" hidden="false" customHeight="false" outlineLevel="0" collapsed="false">
      <c r="B458" s="220" t="n">
        <v>550</v>
      </c>
      <c r="C458" s="221" t="s">
        <v>1223</v>
      </c>
      <c r="D458" s="219" t="s">
        <v>1236</v>
      </c>
      <c r="E458" s="232" t="s">
        <v>817</v>
      </c>
    </row>
    <row r="459" customFormat="false" ht="12" hidden="false" customHeight="false" outlineLevel="0" collapsed="false">
      <c r="B459" s="220" t="n">
        <v>551</v>
      </c>
      <c r="C459" s="221" t="s">
        <v>1223</v>
      </c>
      <c r="D459" s="219" t="s">
        <v>1237</v>
      </c>
      <c r="E459" s="232" t="s">
        <v>1238</v>
      </c>
    </row>
    <row r="460" customFormat="false" ht="12" hidden="false" customHeight="false" outlineLevel="0" collapsed="false">
      <c r="B460" s="220" t="n">
        <v>552</v>
      </c>
      <c r="C460" s="221" t="s">
        <v>1223</v>
      </c>
      <c r="D460" s="219" t="s">
        <v>1239</v>
      </c>
      <c r="E460" s="232" t="s">
        <v>1240</v>
      </c>
    </row>
    <row r="461" customFormat="false" ht="12" hidden="false" customHeight="false" outlineLevel="0" collapsed="false">
      <c r="B461" s="220" t="n">
        <v>553</v>
      </c>
      <c r="C461" s="221" t="s">
        <v>1223</v>
      </c>
      <c r="D461" s="219" t="s">
        <v>1241</v>
      </c>
      <c r="E461" s="232" t="s">
        <v>1242</v>
      </c>
    </row>
    <row r="462" customFormat="false" ht="12" hidden="false" customHeight="false" outlineLevel="0" collapsed="false">
      <c r="B462" s="220" t="n">
        <v>554</v>
      </c>
      <c r="C462" s="221" t="s">
        <v>1223</v>
      </c>
      <c r="D462" s="219" t="s">
        <v>1243</v>
      </c>
      <c r="E462" s="232" t="s">
        <v>1244</v>
      </c>
    </row>
    <row r="463" customFormat="false" ht="12" hidden="false" customHeight="false" outlineLevel="0" collapsed="false">
      <c r="B463" s="220" t="n">
        <v>555</v>
      </c>
      <c r="C463" s="221" t="s">
        <v>1223</v>
      </c>
      <c r="D463" s="219" t="s">
        <v>1245</v>
      </c>
      <c r="E463" s="232" t="s">
        <v>1246</v>
      </c>
    </row>
    <row r="464" customFormat="false" ht="12" hidden="false" customHeight="false" outlineLevel="0" collapsed="false">
      <c r="B464" s="220" t="n">
        <v>556</v>
      </c>
      <c r="C464" s="221" t="s">
        <v>1223</v>
      </c>
      <c r="D464" s="222" t="s">
        <v>1247</v>
      </c>
      <c r="E464" s="222" t="s">
        <v>1248</v>
      </c>
    </row>
    <row r="465" customFormat="false" ht="12" hidden="false" customHeight="false" outlineLevel="0" collapsed="false">
      <c r="B465" s="220" t="n">
        <v>557</v>
      </c>
      <c r="C465" s="221" t="s">
        <v>1223</v>
      </c>
      <c r="D465" s="222" t="s">
        <v>1249</v>
      </c>
      <c r="E465" s="222" t="s">
        <v>1250</v>
      </c>
    </row>
    <row r="466" customFormat="false" ht="12" hidden="false" customHeight="false" outlineLevel="0" collapsed="false">
      <c r="B466" s="220" t="n">
        <v>558</v>
      </c>
      <c r="C466" s="221" t="s">
        <v>1223</v>
      </c>
      <c r="D466" s="222" t="s">
        <v>1251</v>
      </c>
      <c r="E466" s="222" t="s">
        <v>1252</v>
      </c>
    </row>
    <row r="467" customFormat="false" ht="12" hidden="false" customHeight="false" outlineLevel="0" collapsed="false">
      <c r="B467" s="220" t="n">
        <v>559</v>
      </c>
      <c r="C467" s="221" t="s">
        <v>1223</v>
      </c>
      <c r="D467" s="222" t="s">
        <v>1253</v>
      </c>
      <c r="E467" s="222" t="s">
        <v>1254</v>
      </c>
    </row>
    <row r="468" customFormat="false" ht="12" hidden="false" customHeight="false" outlineLevel="0" collapsed="false">
      <c r="B468" s="220" t="n">
        <v>560</v>
      </c>
      <c r="D468" s="222" t="s">
        <v>1255</v>
      </c>
      <c r="E468" s="222" t="s">
        <v>1256</v>
      </c>
    </row>
    <row r="469" customFormat="false" ht="12" hidden="false" customHeight="false" outlineLevel="0" collapsed="false">
      <c r="B469" s="220" t="n">
        <v>561</v>
      </c>
      <c r="C469" s="221" t="s">
        <v>1223</v>
      </c>
      <c r="D469" s="222" t="s">
        <v>1257</v>
      </c>
      <c r="E469" s="222" t="s">
        <v>1258</v>
      </c>
    </row>
    <row r="470" customFormat="false" ht="12" hidden="false" customHeight="false" outlineLevel="0" collapsed="false">
      <c r="B470" s="220" t="n">
        <v>562</v>
      </c>
      <c r="C470" s="221" t="s">
        <v>1223</v>
      </c>
      <c r="D470" s="222" t="s">
        <v>1259</v>
      </c>
      <c r="E470" s="222" t="s">
        <v>1260</v>
      </c>
    </row>
    <row r="471" customFormat="false" ht="12" hidden="false" customHeight="false" outlineLevel="0" collapsed="false">
      <c r="B471" s="220" t="n">
        <v>563</v>
      </c>
      <c r="C471" s="221" t="s">
        <v>1261</v>
      </c>
      <c r="D471" s="222" t="s">
        <v>1262</v>
      </c>
      <c r="E471" s="222" t="s">
        <v>1263</v>
      </c>
    </row>
    <row r="472" customFormat="false" ht="12" hidden="false" customHeight="false" outlineLevel="0" collapsed="false">
      <c r="B472" s="220" t="n">
        <v>564</v>
      </c>
      <c r="C472" s="221" t="s">
        <v>1261</v>
      </c>
      <c r="D472" s="222" t="s">
        <v>1264</v>
      </c>
      <c r="E472" s="222" t="s">
        <v>1265</v>
      </c>
    </row>
    <row r="473" customFormat="false" ht="12" hidden="false" customHeight="false" outlineLevel="0" collapsed="false">
      <c r="B473" s="220" t="n">
        <v>565</v>
      </c>
      <c r="C473" s="221" t="s">
        <v>1261</v>
      </c>
      <c r="D473" s="222" t="s">
        <v>1266</v>
      </c>
      <c r="E473" s="222" t="s">
        <v>1267</v>
      </c>
    </row>
    <row r="474" customFormat="false" ht="12" hidden="false" customHeight="false" outlineLevel="0" collapsed="false">
      <c r="B474" s="220" t="n">
        <v>566</v>
      </c>
      <c r="C474" s="221" t="s">
        <v>1261</v>
      </c>
      <c r="D474" s="222" t="s">
        <v>1268</v>
      </c>
      <c r="E474" s="222" t="s">
        <v>1269</v>
      </c>
    </row>
    <row r="475" customFormat="false" ht="24" hidden="false" customHeight="false" outlineLevel="0" collapsed="false">
      <c r="B475" s="220" t="n">
        <v>567</v>
      </c>
      <c r="C475" s="221" t="s">
        <v>1261</v>
      </c>
      <c r="D475" s="222" t="s">
        <v>1270</v>
      </c>
      <c r="E475" s="222" t="s">
        <v>1271</v>
      </c>
    </row>
    <row r="476" customFormat="false" ht="12" hidden="false" customHeight="false" outlineLevel="0" collapsed="false">
      <c r="B476" s="220" t="n">
        <v>568</v>
      </c>
      <c r="C476" s="221" t="s">
        <v>1261</v>
      </c>
      <c r="D476" s="222" t="s">
        <v>1272</v>
      </c>
      <c r="E476" s="222" t="s">
        <v>1273</v>
      </c>
    </row>
    <row r="477" customFormat="false" ht="12" hidden="false" customHeight="false" outlineLevel="0" collapsed="false">
      <c r="B477" s="220" t="n">
        <v>569</v>
      </c>
      <c r="D477" s="222" t="s">
        <v>1274</v>
      </c>
      <c r="E477" s="222" t="s">
        <v>1275</v>
      </c>
    </row>
    <row r="478" customFormat="false" ht="12" hidden="false" customHeight="false" outlineLevel="0" collapsed="false">
      <c r="B478" s="220" t="n">
        <v>570</v>
      </c>
      <c r="D478" s="222" t="s">
        <v>1276</v>
      </c>
      <c r="E478" s="222" t="s">
        <v>1277</v>
      </c>
    </row>
    <row r="479" customFormat="false" ht="12" hidden="false" customHeight="false" outlineLevel="0" collapsed="false">
      <c r="B479" s="220" t="n">
        <v>571</v>
      </c>
      <c r="D479" s="222" t="s">
        <v>1278</v>
      </c>
      <c r="E479" s="222" t="s">
        <v>340</v>
      </c>
    </row>
    <row r="480" customFormat="false" ht="12" hidden="false" customHeight="false" outlineLevel="0" collapsed="false">
      <c r="B480" s="220" t="n">
        <v>572</v>
      </c>
      <c r="D480" s="222" t="s">
        <v>1279</v>
      </c>
      <c r="E480" s="222" t="s">
        <v>1280</v>
      </c>
    </row>
    <row r="481" customFormat="false" ht="12" hidden="false" customHeight="false" outlineLevel="0" collapsed="false">
      <c r="B481" s="220" t="n">
        <v>573</v>
      </c>
      <c r="D481" s="222" t="s">
        <v>1281</v>
      </c>
      <c r="E481" s="222" t="s">
        <v>1282</v>
      </c>
    </row>
    <row r="482" customFormat="false" ht="12" hidden="false" customHeight="false" outlineLevel="0" collapsed="false">
      <c r="B482" s="220" t="n">
        <v>574</v>
      </c>
      <c r="D482" s="222" t="s">
        <v>1283</v>
      </c>
      <c r="E482" s="222" t="s">
        <v>343</v>
      </c>
    </row>
    <row r="483" customFormat="false" ht="12" hidden="false" customHeight="false" outlineLevel="0" collapsed="false">
      <c r="B483" s="220" t="n">
        <v>575</v>
      </c>
      <c r="D483" s="222" t="s">
        <v>1284</v>
      </c>
      <c r="E483" s="222" t="s">
        <v>337</v>
      </c>
    </row>
    <row r="484" customFormat="false" ht="12" hidden="false" customHeight="false" outlineLevel="0" collapsed="false">
      <c r="B484" s="220" t="n">
        <v>576</v>
      </c>
      <c r="D484" s="222" t="s">
        <v>1283</v>
      </c>
      <c r="E484" s="222" t="s">
        <v>343</v>
      </c>
    </row>
    <row r="485" customFormat="false" ht="12" hidden="false" customHeight="false" outlineLevel="0" collapsed="false">
      <c r="B485" s="220" t="n">
        <v>577</v>
      </c>
      <c r="D485" s="222" t="s">
        <v>1285</v>
      </c>
      <c r="E485" s="222" t="s">
        <v>1286</v>
      </c>
    </row>
    <row r="486" customFormat="false" ht="12" hidden="false" customHeight="false" outlineLevel="0" collapsed="false">
      <c r="B486" s="220" t="n">
        <v>578</v>
      </c>
      <c r="D486" s="222" t="s">
        <v>1287</v>
      </c>
      <c r="E486" s="222" t="s">
        <v>1288</v>
      </c>
    </row>
    <row r="487" customFormat="false" ht="12" hidden="false" customHeight="false" outlineLevel="0" collapsed="false">
      <c r="B487" s="220" t="n">
        <v>579</v>
      </c>
      <c r="D487" s="222" t="s">
        <v>1289</v>
      </c>
      <c r="E487" s="222" t="s">
        <v>135</v>
      </c>
    </row>
    <row r="488" customFormat="false" ht="12" hidden="false" customHeight="false" outlineLevel="0" collapsed="false">
      <c r="B488" s="220" t="n">
        <v>580</v>
      </c>
      <c r="D488" s="222" t="s">
        <v>1290</v>
      </c>
      <c r="E488" s="222" t="s">
        <v>1290</v>
      </c>
    </row>
    <row r="489" customFormat="false" ht="12" hidden="false" customHeight="false" outlineLevel="0" collapsed="false">
      <c r="B489" s="220" t="n">
        <v>581</v>
      </c>
      <c r="D489" s="222" t="s">
        <v>1291</v>
      </c>
      <c r="E489" s="222" t="s">
        <v>1292</v>
      </c>
    </row>
    <row r="490" customFormat="false" ht="12" hidden="false" customHeight="false" outlineLevel="0" collapsed="false">
      <c r="B490" s="220" t="n">
        <v>582</v>
      </c>
      <c r="D490" s="222" t="s">
        <v>1293</v>
      </c>
      <c r="E490" s="222" t="s">
        <v>1294</v>
      </c>
    </row>
    <row r="491" customFormat="false" ht="12" hidden="false" customHeight="false" outlineLevel="0" collapsed="false">
      <c r="B491" s="220" t="n">
        <v>583</v>
      </c>
      <c r="D491" s="222" t="s">
        <v>1295</v>
      </c>
      <c r="E491" s="222" t="s">
        <v>1296</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A1:AB100"/>
  <sheetViews>
    <sheetView showFormulas="false" showGridLines="true" showRowColHeaders="true" showZeros="true" rightToLeft="false" tabSelected="false" showOutlineSymbols="true" defaultGridColor="true" view="normal" topLeftCell="A1" colorId="64" zoomScale="81" zoomScaleNormal="81" zoomScalePageLayoutView="100" workbookViewId="0">
      <selection pane="topLeft" activeCell="M1" activeCellId="0" sqref="M1"/>
    </sheetView>
  </sheetViews>
  <sheetFormatPr defaultRowHeight="14.25" zeroHeight="false" outlineLevelRow="0" outlineLevelCol="0"/>
  <cols>
    <col collapsed="false" customWidth="true" hidden="false" outlineLevel="0" max="1" min="1" style="233" width="9.87"/>
    <col collapsed="false" customWidth="true" hidden="false" outlineLevel="0" max="2" min="2" style="233" width="10.62"/>
    <col collapsed="false" customWidth="true" hidden="false" outlineLevel="0" max="12" min="3" style="233" width="12.12"/>
    <col collapsed="false" customWidth="true" hidden="false" outlineLevel="0" max="13" min="13" style="233" width="32.63"/>
    <col collapsed="false" customWidth="true" hidden="false" outlineLevel="0" max="14" min="14" style="233" width="14.13"/>
    <col collapsed="false" customWidth="true" hidden="false" outlineLevel="0" max="16" min="15" style="233" width="11.87"/>
    <col collapsed="false" customWidth="true" hidden="false" outlineLevel="0" max="17" min="17" style="233" width="15.38"/>
    <col collapsed="false" customWidth="true" hidden="false" outlineLevel="0" max="18" min="18" style="234" width="17"/>
    <col collapsed="false" customWidth="true" hidden="false" outlineLevel="0" max="19" min="19" style="144" width="13.5"/>
    <col collapsed="false" customWidth="true" hidden="false" outlineLevel="0" max="20" min="20" style="144" width="13.77"/>
    <col collapsed="false" customWidth="true" hidden="false" outlineLevel="0" max="21" min="21" style="234" width="13.87"/>
    <col collapsed="false" customWidth="true" hidden="false" outlineLevel="0" max="22" min="22" style="144" width="15.75"/>
    <col collapsed="false" customWidth="true" hidden="false" outlineLevel="0" max="23" min="23" style="235" width="9.5"/>
    <col collapsed="false" customWidth="true" hidden="false" outlineLevel="0" max="24" min="24" style="235" width="10.85"/>
    <col collapsed="false" customWidth="true" hidden="false" outlineLevel="0" max="25" min="25" style="144" width="10.75"/>
    <col collapsed="false" customWidth="true" hidden="false" outlineLevel="0" max="26" min="26" style="144" width="12.37"/>
    <col collapsed="false" customWidth="true" hidden="false" outlineLevel="0" max="27" min="27" style="144" width="12.75"/>
    <col collapsed="false" customWidth="true" hidden="false" outlineLevel="0" max="28" min="28" style="144" width="15.38"/>
    <col collapsed="false" customWidth="true" hidden="false" outlineLevel="0" max="29" min="29" style="144" width="9.62"/>
    <col collapsed="false" customWidth="true" hidden="false" outlineLevel="0" max="30" min="30" style="142" width="9.62"/>
    <col collapsed="false" customWidth="true" hidden="false" outlineLevel="0" max="1025" min="31" style="144" width="9.62"/>
  </cols>
  <sheetData>
    <row r="1" customFormat="false" ht="13.8" hidden="false" customHeight="false" outlineLevel="0" collapsed="false">
      <c r="A1" s="236" t="s">
        <v>1297</v>
      </c>
      <c r="B1" s="236" t="s">
        <v>1298</v>
      </c>
      <c r="C1" s="236" t="s">
        <v>1299</v>
      </c>
      <c r="D1" s="236" t="s">
        <v>1300</v>
      </c>
      <c r="E1" s="236" t="s">
        <v>1301</v>
      </c>
      <c r="F1" s="236" t="s">
        <v>1302</v>
      </c>
      <c r="G1" s="236" t="s">
        <v>1303</v>
      </c>
      <c r="H1" s="236" t="s">
        <v>1304</v>
      </c>
      <c r="I1" s="236" t="s">
        <v>1305</v>
      </c>
      <c r="J1" s="236" t="s">
        <v>1306</v>
      </c>
      <c r="K1" s="236" t="s">
        <v>1307</v>
      </c>
      <c r="L1" s="236" t="s">
        <v>1308</v>
      </c>
      <c r="M1" s="236"/>
      <c r="N1" s="236"/>
      <c r="O1" s="236" t="s">
        <v>1309</v>
      </c>
      <c r="P1" s="236" t="s">
        <v>1310</v>
      </c>
      <c r="Q1" s="236" t="s">
        <v>1311</v>
      </c>
      <c r="R1" s="236" t="s">
        <v>1312</v>
      </c>
      <c r="S1" s="236" t="s">
        <v>1313</v>
      </c>
      <c r="T1" s="236" t="s">
        <v>1314</v>
      </c>
      <c r="U1" s="236" t="s">
        <v>1315</v>
      </c>
      <c r="V1" s="236" t="s">
        <v>1316</v>
      </c>
      <c r="W1" s="237" t="s">
        <v>1317</v>
      </c>
      <c r="X1" s="237" t="s">
        <v>1318</v>
      </c>
      <c r="Y1" s="236" t="s">
        <v>1319</v>
      </c>
      <c r="Z1" s="236" t="s">
        <v>1320</v>
      </c>
      <c r="AA1" s="236" t="s">
        <v>1321</v>
      </c>
      <c r="AB1" s="236" t="s">
        <v>1322</v>
      </c>
    </row>
    <row r="2" customFormat="false" ht="13.8" hidden="false" customHeight="false" outlineLevel="0" collapsed="false">
      <c r="A2" s="238" t="s">
        <v>1323</v>
      </c>
      <c r="B2" s="238" t="s">
        <v>206</v>
      </c>
      <c r="C2" s="238" t="s">
        <v>201</v>
      </c>
      <c r="D2" s="238" t="s">
        <v>204</v>
      </c>
      <c r="E2" s="238" t="s">
        <v>206</v>
      </c>
      <c r="O2" s="239" t="n">
        <v>43696</v>
      </c>
      <c r="P2" s="239" t="n">
        <v>43697</v>
      </c>
      <c r="Q2" s="239" t="n">
        <v>43696</v>
      </c>
      <c r="R2" s="240" t="n">
        <v>43701</v>
      </c>
      <c r="S2" s="144" t="n">
        <v>34</v>
      </c>
      <c r="T2" s="144" t="n">
        <v>1</v>
      </c>
      <c r="U2" s="234" t="n">
        <v>1</v>
      </c>
      <c r="V2" s="144" t="n">
        <v>1</v>
      </c>
      <c r="W2" s="235" t="n">
        <v>1</v>
      </c>
      <c r="X2" s="235" t="n">
        <v>1</v>
      </c>
      <c r="AA2" s="144" t="n">
        <v>1</v>
      </c>
    </row>
    <row r="3" customFormat="false" ht="13.8" hidden="false" customHeight="false" outlineLevel="0" collapsed="false">
      <c r="A3" s="238" t="s">
        <v>1323</v>
      </c>
      <c r="B3" s="238" t="s">
        <v>206</v>
      </c>
      <c r="C3" s="238" t="s">
        <v>201</v>
      </c>
      <c r="D3" s="238" t="s">
        <v>204</v>
      </c>
      <c r="E3" s="238" t="s">
        <v>206</v>
      </c>
      <c r="O3" s="239" t="n">
        <v>43696</v>
      </c>
      <c r="P3" s="239" t="n">
        <v>43697</v>
      </c>
      <c r="Q3" s="239" t="n">
        <v>43696</v>
      </c>
      <c r="R3" s="240" t="n">
        <v>43701</v>
      </c>
      <c r="S3" s="144" t="n">
        <v>34</v>
      </c>
      <c r="T3" s="144" t="n">
        <v>1</v>
      </c>
      <c r="U3" s="234" t="n">
        <v>1</v>
      </c>
      <c r="V3" s="144" t="n">
        <v>1</v>
      </c>
      <c r="W3" s="235" t="n">
        <v>1</v>
      </c>
      <c r="X3" s="235" t="n">
        <v>1</v>
      </c>
      <c r="AA3" s="144" t="n">
        <v>1</v>
      </c>
    </row>
    <row r="4" customFormat="false" ht="13.8" hidden="false" customHeight="false" outlineLevel="0" collapsed="false">
      <c r="A4" s="238" t="s">
        <v>1324</v>
      </c>
      <c r="B4" s="238" t="s">
        <v>210</v>
      </c>
      <c r="C4" s="238" t="s">
        <v>201</v>
      </c>
      <c r="D4" s="238" t="s">
        <v>204</v>
      </c>
      <c r="E4" s="238" t="s">
        <v>208</v>
      </c>
      <c r="F4" s="238" t="s">
        <v>210</v>
      </c>
      <c r="O4" s="239" t="n">
        <v>43700</v>
      </c>
      <c r="P4" s="239" t="n">
        <v>43706</v>
      </c>
      <c r="Q4" s="239" t="n">
        <v>43696</v>
      </c>
      <c r="R4" s="240" t="n">
        <v>43701</v>
      </c>
      <c r="S4" s="144" t="n">
        <v>34</v>
      </c>
      <c r="T4" s="144" t="n">
        <v>1</v>
      </c>
      <c r="U4" s="234" t="n">
        <v>1</v>
      </c>
      <c r="V4" s="144" t="n">
        <v>1</v>
      </c>
      <c r="W4" s="235" t="n">
        <v>1</v>
      </c>
      <c r="X4" s="235" t="n">
        <v>1</v>
      </c>
      <c r="AA4" s="144" t="n">
        <v>1</v>
      </c>
    </row>
    <row r="5" customFormat="false" ht="13.8" hidden="false" customHeight="false" outlineLevel="0" collapsed="false">
      <c r="A5" s="238" t="s">
        <v>1324</v>
      </c>
      <c r="B5" s="238" t="s">
        <v>210</v>
      </c>
      <c r="C5" s="238" t="s">
        <v>201</v>
      </c>
      <c r="D5" s="238" t="s">
        <v>204</v>
      </c>
      <c r="E5" s="238" t="s">
        <v>208</v>
      </c>
      <c r="F5" s="238" t="s">
        <v>210</v>
      </c>
      <c r="O5" s="239" t="n">
        <v>43700</v>
      </c>
      <c r="P5" s="239" t="n">
        <v>43706</v>
      </c>
      <c r="Q5" s="239" t="n">
        <v>43702</v>
      </c>
      <c r="R5" s="240" t="n">
        <v>43708</v>
      </c>
      <c r="S5" s="144" t="n">
        <v>35</v>
      </c>
      <c r="T5" s="144" t="n">
        <v>4</v>
      </c>
      <c r="U5" s="234" t="n">
        <v>4</v>
      </c>
      <c r="V5" s="144" t="n">
        <v>1</v>
      </c>
      <c r="W5" s="235" t="n">
        <v>1</v>
      </c>
      <c r="X5" s="235" t="n">
        <v>1</v>
      </c>
      <c r="AA5" s="144" t="n">
        <v>4</v>
      </c>
    </row>
    <row r="6" customFormat="false" ht="13.8" hidden="false" customHeight="false" outlineLevel="0" collapsed="false">
      <c r="A6" s="238" t="s">
        <v>1324</v>
      </c>
      <c r="B6" s="238" t="s">
        <v>212</v>
      </c>
      <c r="C6" s="238" t="s">
        <v>201</v>
      </c>
      <c r="D6" s="238" t="s">
        <v>204</v>
      </c>
      <c r="E6" s="238" t="s">
        <v>208</v>
      </c>
      <c r="F6" s="238" t="s">
        <v>212</v>
      </c>
      <c r="O6" s="239" t="n">
        <v>43718</v>
      </c>
      <c r="P6" s="239" t="n">
        <v>43718</v>
      </c>
      <c r="Q6" s="239" t="n">
        <v>43716</v>
      </c>
      <c r="R6" s="240" t="n">
        <v>43722</v>
      </c>
      <c r="S6" s="144" t="n">
        <v>37</v>
      </c>
      <c r="T6" s="144" t="n">
        <v>1</v>
      </c>
      <c r="U6" s="234" t="n">
        <v>1</v>
      </c>
      <c r="V6" s="144" t="n">
        <v>1</v>
      </c>
      <c r="W6" s="235" t="n">
        <v>1</v>
      </c>
      <c r="X6" s="235" t="n">
        <v>1</v>
      </c>
      <c r="AA6" s="144" t="n">
        <v>1</v>
      </c>
    </row>
    <row r="7" customFormat="false" ht="13.8" hidden="false" customHeight="false" outlineLevel="0" collapsed="false">
      <c r="A7" s="238" t="s">
        <v>1323</v>
      </c>
      <c r="B7" s="238" t="s">
        <v>216</v>
      </c>
      <c r="C7" s="238" t="s">
        <v>201</v>
      </c>
      <c r="D7" s="238" t="s">
        <v>214</v>
      </c>
      <c r="E7" s="238" t="s">
        <v>216</v>
      </c>
      <c r="O7" s="239" t="n">
        <v>43721</v>
      </c>
      <c r="P7" s="239" t="n">
        <v>43725</v>
      </c>
      <c r="Q7" s="239" t="n">
        <v>43716</v>
      </c>
      <c r="R7" s="240" t="n">
        <v>43722</v>
      </c>
      <c r="S7" s="144" t="n">
        <v>37</v>
      </c>
      <c r="T7" s="144" t="n">
        <v>0</v>
      </c>
      <c r="U7" s="234" t="n">
        <v>0</v>
      </c>
      <c r="V7" s="144" t="n">
        <v>1</v>
      </c>
      <c r="W7" s="235" t="n">
        <v>1</v>
      </c>
      <c r="X7" s="235" t="n">
        <v>1</v>
      </c>
      <c r="AA7" s="144" t="n">
        <v>0</v>
      </c>
    </row>
    <row r="8" customFormat="false" ht="13.8" hidden="false" customHeight="false" outlineLevel="0" collapsed="false">
      <c r="A8" s="238" t="s">
        <v>1323</v>
      </c>
      <c r="B8" s="238" t="s">
        <v>216</v>
      </c>
      <c r="C8" s="238" t="s">
        <v>201</v>
      </c>
      <c r="D8" s="238" t="s">
        <v>214</v>
      </c>
      <c r="E8" s="238" t="s">
        <v>216</v>
      </c>
      <c r="O8" s="239" t="n">
        <v>43721</v>
      </c>
      <c r="P8" s="239" t="n">
        <v>43725</v>
      </c>
      <c r="Q8" s="239" t="n">
        <v>43723</v>
      </c>
      <c r="R8" s="240" t="n">
        <v>43729</v>
      </c>
      <c r="S8" s="144" t="n">
        <v>38</v>
      </c>
      <c r="T8" s="144" t="n">
        <v>2</v>
      </c>
      <c r="U8" s="234" t="n">
        <v>2</v>
      </c>
      <c r="V8" s="144" t="n">
        <v>1</v>
      </c>
      <c r="W8" s="235" t="n">
        <v>1</v>
      </c>
      <c r="X8" s="235" t="n">
        <v>1</v>
      </c>
      <c r="AA8" s="144" t="n">
        <v>2</v>
      </c>
    </row>
    <row r="9" customFormat="false" ht="13.8" hidden="false" customHeight="false" outlineLevel="0" collapsed="false">
      <c r="A9" s="238" t="s">
        <v>1323</v>
      </c>
      <c r="B9" s="238" t="s">
        <v>218</v>
      </c>
      <c r="C9" s="238" t="s">
        <v>201</v>
      </c>
      <c r="D9" s="238" t="s">
        <v>214</v>
      </c>
      <c r="E9" s="238" t="s">
        <v>218</v>
      </c>
      <c r="O9" s="239" t="n">
        <v>43753</v>
      </c>
      <c r="P9" s="239" t="n">
        <v>43753</v>
      </c>
      <c r="Q9" s="239" t="n">
        <v>43751</v>
      </c>
      <c r="R9" s="240" t="n">
        <v>43757</v>
      </c>
      <c r="S9" s="144" t="n">
        <v>42</v>
      </c>
      <c r="T9" s="144" t="n">
        <v>1</v>
      </c>
      <c r="U9" s="234" t="n">
        <v>0</v>
      </c>
      <c r="V9" s="144" t="n">
        <v>1</v>
      </c>
      <c r="W9" s="235" t="n">
        <v>0</v>
      </c>
      <c r="X9" s="235" t="n">
        <v>0</v>
      </c>
      <c r="AA9" s="144" t="n">
        <v>0</v>
      </c>
    </row>
    <row r="10" customFormat="false" ht="13.8" hidden="false" customHeight="false" outlineLevel="0" collapsed="false">
      <c r="A10" s="238" t="s">
        <v>1323</v>
      </c>
      <c r="B10" s="238" t="s">
        <v>220</v>
      </c>
      <c r="C10" s="238" t="s">
        <v>201</v>
      </c>
      <c r="D10" s="238" t="s">
        <v>214</v>
      </c>
      <c r="E10" s="238" t="s">
        <v>220</v>
      </c>
      <c r="O10" s="239" t="n">
        <v>43789</v>
      </c>
      <c r="P10" s="239" t="n">
        <v>43814</v>
      </c>
      <c r="Q10" s="239" t="n">
        <v>43786</v>
      </c>
      <c r="R10" s="240" t="n">
        <v>43792</v>
      </c>
      <c r="S10" s="144" t="n">
        <v>47</v>
      </c>
      <c r="T10" s="144" t="n">
        <v>3</v>
      </c>
      <c r="U10" s="234" t="n">
        <v>0</v>
      </c>
      <c r="V10" s="144" t="n">
        <v>1</v>
      </c>
      <c r="W10" s="235" t="n">
        <v>0</v>
      </c>
      <c r="X10" s="235" t="n">
        <v>0</v>
      </c>
      <c r="AA10" s="144" t="n">
        <v>0</v>
      </c>
    </row>
    <row r="11" customFormat="false" ht="13.8" hidden="false" customHeight="false" outlineLevel="0" collapsed="false">
      <c r="A11" s="238" t="s">
        <v>1323</v>
      </c>
      <c r="B11" s="238" t="s">
        <v>220</v>
      </c>
      <c r="C11" s="238" t="s">
        <v>201</v>
      </c>
      <c r="D11" s="238" t="s">
        <v>214</v>
      </c>
      <c r="E11" s="238" t="s">
        <v>220</v>
      </c>
      <c r="O11" s="239" t="n">
        <v>43789</v>
      </c>
      <c r="P11" s="239" t="n">
        <v>43814</v>
      </c>
      <c r="Q11" s="239" t="n">
        <v>43793</v>
      </c>
      <c r="R11" s="240" t="n">
        <v>43799</v>
      </c>
      <c r="S11" s="144" t="n">
        <v>48</v>
      </c>
      <c r="T11" s="144" t="n">
        <v>5</v>
      </c>
      <c r="U11" s="234" t="n">
        <v>0</v>
      </c>
      <c r="V11" s="144" t="n">
        <v>1</v>
      </c>
      <c r="W11" s="235" t="n">
        <v>0</v>
      </c>
      <c r="X11" s="235" t="n">
        <v>0</v>
      </c>
      <c r="AA11" s="144" t="n">
        <v>0</v>
      </c>
    </row>
    <row r="12" customFormat="false" ht="13.8" hidden="false" customHeight="false" outlineLevel="0" collapsed="false">
      <c r="A12" s="238" t="s">
        <v>1323</v>
      </c>
      <c r="B12" s="238" t="s">
        <v>220</v>
      </c>
      <c r="C12" s="238" t="s">
        <v>201</v>
      </c>
      <c r="D12" s="238" t="s">
        <v>214</v>
      </c>
      <c r="E12" s="238" t="s">
        <v>220</v>
      </c>
      <c r="O12" s="239" t="n">
        <v>43789</v>
      </c>
      <c r="P12" s="239" t="n">
        <v>43814</v>
      </c>
      <c r="Q12" s="239" t="n">
        <v>43800</v>
      </c>
      <c r="R12" s="240" t="n">
        <v>43806</v>
      </c>
      <c r="S12" s="144" t="n">
        <v>49</v>
      </c>
      <c r="T12" s="144" t="n">
        <v>5</v>
      </c>
      <c r="U12" s="234" t="n">
        <v>0</v>
      </c>
      <c r="V12" s="144" t="n">
        <v>1</v>
      </c>
      <c r="W12" s="235" t="n">
        <v>0</v>
      </c>
      <c r="X12" s="235" t="n">
        <v>0</v>
      </c>
      <c r="AA12" s="144" t="n">
        <v>0</v>
      </c>
    </row>
    <row r="13" customFormat="false" ht="13.8" hidden="false" customHeight="false" outlineLevel="0" collapsed="false">
      <c r="A13" s="238" t="s">
        <v>1323</v>
      </c>
      <c r="B13" s="238" t="s">
        <v>220</v>
      </c>
      <c r="C13" s="238" t="s">
        <v>201</v>
      </c>
      <c r="D13" s="238" t="s">
        <v>214</v>
      </c>
      <c r="E13" s="238" t="s">
        <v>220</v>
      </c>
      <c r="O13" s="239" t="n">
        <v>43789</v>
      </c>
      <c r="P13" s="239" t="n">
        <v>43814</v>
      </c>
      <c r="Q13" s="239" t="n">
        <v>43807</v>
      </c>
      <c r="R13" s="240" t="n">
        <v>43813</v>
      </c>
      <c r="S13" s="144" t="n">
        <v>50</v>
      </c>
      <c r="T13" s="144" t="n">
        <v>5</v>
      </c>
      <c r="U13" s="234" t="n">
        <v>0</v>
      </c>
      <c r="V13" s="144" t="n">
        <v>1</v>
      </c>
      <c r="W13" s="235" t="n">
        <v>0</v>
      </c>
      <c r="X13" s="235" t="n">
        <v>0</v>
      </c>
      <c r="AA13" s="144" t="n">
        <v>0</v>
      </c>
    </row>
    <row r="14" customFormat="false" ht="13.8" hidden="false" customHeight="false" outlineLevel="0" collapsed="false">
      <c r="A14" s="238" t="s">
        <v>1323</v>
      </c>
      <c r="B14" s="238" t="s">
        <v>220</v>
      </c>
      <c r="C14" s="238" t="s">
        <v>201</v>
      </c>
      <c r="D14" s="238" t="s">
        <v>214</v>
      </c>
      <c r="E14" s="238" t="s">
        <v>220</v>
      </c>
      <c r="O14" s="239" t="n">
        <v>43789</v>
      </c>
      <c r="P14" s="239" t="n">
        <v>43814</v>
      </c>
      <c r="Q14" s="239" t="n">
        <v>43814</v>
      </c>
      <c r="R14" s="240" t="n">
        <v>43820</v>
      </c>
      <c r="S14" s="144" t="n">
        <v>51</v>
      </c>
      <c r="T14" s="144" t="n">
        <v>0</v>
      </c>
      <c r="U14" s="234" t="n">
        <v>0</v>
      </c>
      <c r="V14" s="144" t="n">
        <v>1</v>
      </c>
      <c r="W14" s="235" t="n">
        <v>0</v>
      </c>
      <c r="X14" s="235" t="n">
        <v>0</v>
      </c>
      <c r="AA14" s="144" t="n">
        <v>0</v>
      </c>
    </row>
    <row r="15" customFormat="false" ht="13.8" hidden="false" customHeight="false" outlineLevel="0" collapsed="false">
      <c r="A15" s="238" t="s">
        <v>1323</v>
      </c>
      <c r="B15" s="238" t="s">
        <v>222</v>
      </c>
      <c r="C15" s="238" t="s">
        <v>201</v>
      </c>
      <c r="D15" s="238" t="s">
        <v>214</v>
      </c>
      <c r="E15" s="238" t="s">
        <v>222</v>
      </c>
      <c r="O15" s="239" t="n">
        <v>43718</v>
      </c>
      <c r="P15" s="239" t="n">
        <v>43718</v>
      </c>
      <c r="Q15" s="239" t="n">
        <v>43716</v>
      </c>
      <c r="R15" s="240" t="n">
        <v>43722</v>
      </c>
      <c r="S15" s="144" t="n">
        <v>37</v>
      </c>
      <c r="T15" s="144" t="n">
        <v>1</v>
      </c>
      <c r="U15" s="234" t="n">
        <v>1</v>
      </c>
      <c r="V15" s="144" t="n">
        <v>1</v>
      </c>
      <c r="W15" s="235" t="n">
        <v>1</v>
      </c>
      <c r="X15" s="235" t="n">
        <v>1</v>
      </c>
      <c r="AA15" s="144" t="n">
        <v>0</v>
      </c>
    </row>
    <row r="16" customFormat="false" ht="13.8" hidden="false" customHeight="false" outlineLevel="0" collapsed="false">
      <c r="A16" s="238" t="s">
        <v>1323</v>
      </c>
      <c r="B16" s="238" t="s">
        <v>222</v>
      </c>
      <c r="C16" s="238" t="s">
        <v>201</v>
      </c>
      <c r="D16" s="238" t="s">
        <v>214</v>
      </c>
      <c r="E16" s="238" t="s">
        <v>222</v>
      </c>
      <c r="O16" s="239" t="n">
        <v>43718</v>
      </c>
      <c r="P16" s="239" t="n">
        <v>43718</v>
      </c>
      <c r="Q16" s="239" t="n">
        <v>43723</v>
      </c>
      <c r="R16" s="240" t="n">
        <v>43729</v>
      </c>
      <c r="S16" s="144" t="n">
        <v>38</v>
      </c>
      <c r="T16" s="144" t="n">
        <v>0</v>
      </c>
      <c r="U16" s="234" t="n">
        <v>0</v>
      </c>
      <c r="V16" s="144" t="n">
        <v>1</v>
      </c>
      <c r="W16" s="235" t="n">
        <v>1</v>
      </c>
      <c r="X16" s="235" t="n">
        <v>1</v>
      </c>
      <c r="AA16" s="144" t="n">
        <v>1</v>
      </c>
    </row>
    <row r="17" customFormat="false" ht="13.8" hidden="false" customHeight="false" outlineLevel="0" collapsed="false">
      <c r="A17" s="238" t="s">
        <v>1323</v>
      </c>
      <c r="B17" s="238" t="s">
        <v>226</v>
      </c>
      <c r="C17" s="238" t="s">
        <v>201</v>
      </c>
      <c r="D17" s="238" t="s">
        <v>224</v>
      </c>
      <c r="E17" s="238" t="s">
        <v>226</v>
      </c>
      <c r="O17" s="239" t="n">
        <v>43822</v>
      </c>
      <c r="P17" s="239" t="n">
        <v>43826</v>
      </c>
      <c r="Q17" s="239" t="n">
        <v>43821</v>
      </c>
      <c r="R17" s="240" t="n">
        <v>43827</v>
      </c>
      <c r="S17" s="144" t="n">
        <v>52</v>
      </c>
      <c r="T17" s="144" t="n">
        <v>2</v>
      </c>
      <c r="U17" s="234" t="n">
        <v>0</v>
      </c>
      <c r="V17" s="144" t="n">
        <v>1</v>
      </c>
      <c r="W17" s="235" t="n">
        <v>0</v>
      </c>
      <c r="X17" s="235" t="n">
        <v>0</v>
      </c>
      <c r="AA17" s="144" t="n">
        <v>0</v>
      </c>
    </row>
    <row r="18" customFormat="false" ht="13.8" hidden="false" customHeight="false" outlineLevel="0" collapsed="false">
      <c r="A18" s="238" t="s">
        <v>1323</v>
      </c>
      <c r="B18" s="238" t="s">
        <v>226</v>
      </c>
      <c r="C18" s="238" t="s">
        <v>201</v>
      </c>
      <c r="D18" s="238" t="s">
        <v>224</v>
      </c>
      <c r="E18" s="238" t="s">
        <v>226</v>
      </c>
      <c r="O18" s="239" t="n">
        <v>43822</v>
      </c>
      <c r="P18" s="239" t="n">
        <v>43826</v>
      </c>
      <c r="Q18" s="239" t="n">
        <v>43821</v>
      </c>
      <c r="R18" s="240" t="n">
        <v>43827</v>
      </c>
      <c r="S18" s="144" t="n">
        <v>52</v>
      </c>
      <c r="T18" s="144" t="n">
        <v>2</v>
      </c>
      <c r="U18" s="234" t="n">
        <v>0</v>
      </c>
      <c r="V18" s="144" t="n">
        <v>1</v>
      </c>
      <c r="W18" s="235" t="n">
        <v>0</v>
      </c>
      <c r="X18" s="235" t="n">
        <v>0</v>
      </c>
      <c r="AA18" s="144" t="n">
        <v>0</v>
      </c>
    </row>
    <row r="19" customFormat="false" ht="13.8" hidden="false" customHeight="false" outlineLevel="0" collapsed="false">
      <c r="A19" s="238" t="s">
        <v>1323</v>
      </c>
      <c r="B19" s="238" t="s">
        <v>229</v>
      </c>
      <c r="C19" s="238" t="s">
        <v>201</v>
      </c>
      <c r="D19" s="238" t="s">
        <v>224</v>
      </c>
      <c r="E19" s="238" t="s">
        <v>229</v>
      </c>
      <c r="O19" s="239" t="n">
        <v>43829</v>
      </c>
      <c r="P19" s="239" t="n">
        <v>43847</v>
      </c>
      <c r="Q19" s="239" t="n">
        <v>43828</v>
      </c>
      <c r="R19" s="240" t="n">
        <v>43834</v>
      </c>
      <c r="S19" s="144" t="n">
        <v>53</v>
      </c>
      <c r="T19" s="144" t="n">
        <v>4</v>
      </c>
      <c r="U19" s="234" t="n">
        <v>0</v>
      </c>
      <c r="V19" s="144" t="n">
        <v>1</v>
      </c>
      <c r="W19" s="235" t="n">
        <v>0</v>
      </c>
      <c r="X19" s="235" t="n">
        <v>0</v>
      </c>
      <c r="AA19" s="144" t="n">
        <v>0</v>
      </c>
    </row>
    <row r="20" customFormat="false" ht="13.8" hidden="false" customHeight="false" outlineLevel="0" collapsed="false">
      <c r="A20" s="238" t="s">
        <v>1323</v>
      </c>
      <c r="B20" s="238" t="s">
        <v>229</v>
      </c>
      <c r="C20" s="238" t="s">
        <v>201</v>
      </c>
      <c r="D20" s="238" t="s">
        <v>224</v>
      </c>
      <c r="E20" s="238" t="s">
        <v>229</v>
      </c>
      <c r="O20" s="239" t="n">
        <v>43829</v>
      </c>
      <c r="P20" s="239" t="n">
        <v>43847</v>
      </c>
      <c r="Q20" s="239" t="n">
        <v>43835</v>
      </c>
      <c r="R20" s="240" t="n">
        <v>43841</v>
      </c>
      <c r="S20" s="144" t="n">
        <v>2</v>
      </c>
      <c r="T20" s="144" t="n">
        <v>5</v>
      </c>
      <c r="U20" s="234" t="n">
        <v>0</v>
      </c>
      <c r="V20" s="144" t="n">
        <v>1</v>
      </c>
      <c r="W20" s="235" t="n">
        <v>0</v>
      </c>
      <c r="X20" s="235" t="n">
        <v>0</v>
      </c>
      <c r="AA20" s="144" t="n">
        <v>0</v>
      </c>
    </row>
    <row r="21" customFormat="false" ht="13.8" hidden="false" customHeight="false" outlineLevel="0" collapsed="false">
      <c r="A21" s="238" t="s">
        <v>1323</v>
      </c>
      <c r="B21" s="238" t="s">
        <v>229</v>
      </c>
      <c r="C21" s="238" t="s">
        <v>201</v>
      </c>
      <c r="D21" s="238" t="s">
        <v>224</v>
      </c>
      <c r="E21" s="238" t="s">
        <v>229</v>
      </c>
      <c r="O21" s="239" t="n">
        <v>43829</v>
      </c>
      <c r="P21" s="239" t="n">
        <v>43847</v>
      </c>
      <c r="Q21" s="239" t="n">
        <v>43842</v>
      </c>
      <c r="R21" s="240" t="n">
        <v>43848</v>
      </c>
      <c r="S21" s="144" t="n">
        <v>3</v>
      </c>
      <c r="T21" s="144" t="n">
        <v>5</v>
      </c>
      <c r="U21" s="234" t="n">
        <v>0</v>
      </c>
      <c r="V21" s="144" t="n">
        <v>1</v>
      </c>
      <c r="W21" s="235" t="n">
        <v>0</v>
      </c>
      <c r="X21" s="235" t="n">
        <v>0</v>
      </c>
      <c r="AA21" s="144" t="n">
        <v>0</v>
      </c>
    </row>
    <row r="22" customFormat="false" ht="13.8" hidden="false" customHeight="false" outlineLevel="0" collapsed="false">
      <c r="A22" s="238" t="s">
        <v>1323</v>
      </c>
      <c r="B22" s="238" t="s">
        <v>232</v>
      </c>
      <c r="C22" s="238" t="s">
        <v>201</v>
      </c>
      <c r="D22" s="238" t="s">
        <v>224</v>
      </c>
      <c r="E22" s="238" t="s">
        <v>232</v>
      </c>
      <c r="O22" s="239" t="n">
        <v>43847</v>
      </c>
      <c r="P22" s="239" t="n">
        <v>43847</v>
      </c>
      <c r="Q22" s="239" t="n">
        <v>43842</v>
      </c>
      <c r="R22" s="240" t="n">
        <v>43848</v>
      </c>
      <c r="S22" s="144" t="n">
        <v>3</v>
      </c>
      <c r="T22" s="144" t="n">
        <v>0.5</v>
      </c>
      <c r="U22" s="234" t="n">
        <v>0</v>
      </c>
      <c r="V22" s="144" t="n">
        <v>1</v>
      </c>
      <c r="W22" s="235" t="n">
        <v>0</v>
      </c>
      <c r="X22" s="235" t="n">
        <v>0</v>
      </c>
      <c r="AA22" s="144" t="n">
        <v>0</v>
      </c>
    </row>
    <row r="23" customFormat="false" ht="13.8" hidden="false" customHeight="false" outlineLevel="0" collapsed="false">
      <c r="A23" s="238" t="s">
        <v>1323</v>
      </c>
      <c r="B23" s="238" t="s">
        <v>232</v>
      </c>
      <c r="C23" s="238" t="s">
        <v>201</v>
      </c>
      <c r="D23" s="238" t="s">
        <v>224</v>
      </c>
      <c r="E23" s="238" t="s">
        <v>232</v>
      </c>
      <c r="O23" s="239" t="n">
        <v>43847</v>
      </c>
      <c r="P23" s="239" t="n">
        <v>43847</v>
      </c>
      <c r="Q23" s="239" t="n">
        <v>43842</v>
      </c>
      <c r="R23" s="240" t="n">
        <v>43848</v>
      </c>
      <c r="S23" s="144" t="n">
        <v>3</v>
      </c>
      <c r="T23" s="144" t="n">
        <v>0.5</v>
      </c>
      <c r="U23" s="234" t="n">
        <v>0</v>
      </c>
      <c r="V23" s="144" t="n">
        <v>1</v>
      </c>
      <c r="W23" s="235" t="n">
        <v>0</v>
      </c>
      <c r="X23" s="235" t="n">
        <v>0</v>
      </c>
      <c r="AA23" s="144" t="n">
        <v>0</v>
      </c>
    </row>
    <row r="24" customFormat="false" ht="13.8" hidden="false" customHeight="false" outlineLevel="0" collapsed="false">
      <c r="A24" s="238" t="s">
        <v>1323</v>
      </c>
      <c r="B24" s="238" t="s">
        <v>235</v>
      </c>
      <c r="C24" s="238" t="s">
        <v>201</v>
      </c>
      <c r="D24" s="238" t="s">
        <v>224</v>
      </c>
      <c r="E24" s="238" t="s">
        <v>235</v>
      </c>
      <c r="O24" s="239" t="n">
        <v>43847</v>
      </c>
      <c r="P24" s="239" t="n">
        <v>43847</v>
      </c>
      <c r="Q24" s="239" t="n">
        <v>43842</v>
      </c>
      <c r="R24" s="240" t="n">
        <v>43848</v>
      </c>
      <c r="S24" s="144" t="n">
        <v>3</v>
      </c>
      <c r="T24" s="144" t="n">
        <v>1</v>
      </c>
      <c r="U24" s="234" t="n">
        <v>0</v>
      </c>
      <c r="V24" s="144" t="n">
        <v>1</v>
      </c>
      <c r="W24" s="235" t="n">
        <v>0</v>
      </c>
      <c r="X24" s="235" t="n">
        <v>0</v>
      </c>
      <c r="AA24" s="144" t="n">
        <v>0</v>
      </c>
    </row>
    <row r="25" customFormat="false" ht="13.8" hidden="false" customHeight="false" outlineLevel="0" collapsed="false">
      <c r="A25" s="238" t="s">
        <v>1323</v>
      </c>
      <c r="B25" s="238" t="s">
        <v>242</v>
      </c>
      <c r="C25" s="238" t="s">
        <v>238</v>
      </c>
      <c r="D25" s="238" t="s">
        <v>240</v>
      </c>
      <c r="E25" s="238" t="s">
        <v>242</v>
      </c>
      <c r="O25" s="239" t="n">
        <v>43700</v>
      </c>
      <c r="P25" s="239" t="n">
        <v>43718</v>
      </c>
      <c r="Q25" s="239" t="n">
        <v>43696</v>
      </c>
      <c r="R25" s="240" t="n">
        <v>43701</v>
      </c>
      <c r="S25" s="144" t="n">
        <v>34</v>
      </c>
      <c r="T25" s="144" t="n">
        <v>1</v>
      </c>
      <c r="U25" s="234" t="n">
        <v>1</v>
      </c>
      <c r="V25" s="144" t="n">
        <v>1</v>
      </c>
      <c r="W25" s="235" t="n">
        <v>1</v>
      </c>
      <c r="X25" s="235" t="n">
        <v>1</v>
      </c>
      <c r="AA25" s="144" t="n">
        <v>1</v>
      </c>
    </row>
    <row r="26" customFormat="false" ht="13.8" hidden="false" customHeight="false" outlineLevel="0" collapsed="false">
      <c r="A26" s="238" t="s">
        <v>1323</v>
      </c>
      <c r="B26" s="238" t="s">
        <v>242</v>
      </c>
      <c r="C26" s="238" t="s">
        <v>238</v>
      </c>
      <c r="D26" s="238" t="s">
        <v>240</v>
      </c>
      <c r="E26" s="238" t="s">
        <v>242</v>
      </c>
      <c r="O26" s="239" t="n">
        <v>43700</v>
      </c>
      <c r="P26" s="239" t="n">
        <v>43718</v>
      </c>
      <c r="Q26" s="239" t="n">
        <v>43702</v>
      </c>
      <c r="R26" s="240" t="n">
        <v>43708</v>
      </c>
      <c r="S26" s="144" t="n">
        <v>35</v>
      </c>
      <c r="T26" s="144" t="n">
        <v>5</v>
      </c>
      <c r="U26" s="234" t="n">
        <v>5</v>
      </c>
      <c r="V26" s="144" t="n">
        <v>1</v>
      </c>
      <c r="W26" s="235" t="n">
        <v>1</v>
      </c>
      <c r="X26" s="235" t="n">
        <v>1</v>
      </c>
      <c r="AA26" s="144" t="n">
        <v>5</v>
      </c>
    </row>
    <row r="27" customFormat="false" ht="13.8" hidden="false" customHeight="false" outlineLevel="0" collapsed="false">
      <c r="A27" s="238" t="s">
        <v>1323</v>
      </c>
      <c r="B27" s="238" t="s">
        <v>242</v>
      </c>
      <c r="C27" s="238" t="s">
        <v>238</v>
      </c>
      <c r="D27" s="238" t="s">
        <v>240</v>
      </c>
      <c r="E27" s="238" t="s">
        <v>242</v>
      </c>
      <c r="O27" s="239" t="n">
        <v>43700</v>
      </c>
      <c r="P27" s="239" t="n">
        <v>43718</v>
      </c>
      <c r="Q27" s="239" t="n">
        <v>43709</v>
      </c>
      <c r="R27" s="240" t="n">
        <v>43715</v>
      </c>
      <c r="S27" s="144" t="n">
        <v>36</v>
      </c>
      <c r="T27" s="144" t="n">
        <v>5</v>
      </c>
      <c r="U27" s="234" t="n">
        <v>5</v>
      </c>
      <c r="V27" s="144" t="n">
        <v>1</v>
      </c>
      <c r="W27" s="235" t="n">
        <v>1</v>
      </c>
      <c r="X27" s="235" t="n">
        <v>1</v>
      </c>
      <c r="AA27" s="144" t="n">
        <v>5</v>
      </c>
    </row>
    <row r="28" customFormat="false" ht="13.8" hidden="false" customHeight="false" outlineLevel="0" collapsed="false">
      <c r="A28" s="238" t="s">
        <v>1323</v>
      </c>
      <c r="B28" s="238" t="s">
        <v>242</v>
      </c>
      <c r="C28" s="238" t="s">
        <v>238</v>
      </c>
      <c r="D28" s="238" t="s">
        <v>240</v>
      </c>
      <c r="E28" s="238" t="s">
        <v>242</v>
      </c>
      <c r="O28" s="239" t="n">
        <v>43700</v>
      </c>
      <c r="P28" s="239" t="n">
        <v>43718</v>
      </c>
      <c r="Q28" s="239" t="n">
        <v>43716</v>
      </c>
      <c r="R28" s="240" t="n">
        <v>43722</v>
      </c>
      <c r="S28" s="144" t="n">
        <v>37</v>
      </c>
      <c r="T28" s="144" t="n">
        <v>2</v>
      </c>
      <c r="U28" s="234" t="n">
        <v>2</v>
      </c>
      <c r="V28" s="144" t="n">
        <v>1</v>
      </c>
      <c r="W28" s="235" t="n">
        <v>1</v>
      </c>
      <c r="X28" s="235" t="n">
        <v>1</v>
      </c>
      <c r="AA28" s="144" t="n">
        <v>2</v>
      </c>
    </row>
    <row r="29" customFormat="false" ht="13.8" hidden="false" customHeight="false" outlineLevel="0" collapsed="false">
      <c r="A29" s="238" t="s">
        <v>1324</v>
      </c>
      <c r="B29" s="238" t="s">
        <v>246</v>
      </c>
      <c r="C29" s="238" t="s">
        <v>238</v>
      </c>
      <c r="D29" s="238" t="s">
        <v>240</v>
      </c>
      <c r="E29" s="238" t="s">
        <v>244</v>
      </c>
      <c r="F29" s="238" t="s">
        <v>246</v>
      </c>
      <c r="O29" s="239" t="n">
        <v>43706</v>
      </c>
      <c r="P29" s="239" t="n">
        <v>43717</v>
      </c>
      <c r="Q29" s="239" t="n">
        <v>43702</v>
      </c>
      <c r="R29" s="240" t="n">
        <v>43708</v>
      </c>
      <c r="S29" s="144" t="n">
        <v>35</v>
      </c>
      <c r="T29" s="144" t="n">
        <v>2</v>
      </c>
      <c r="U29" s="234" t="n">
        <v>2</v>
      </c>
      <c r="V29" s="144" t="n">
        <v>1</v>
      </c>
      <c r="W29" s="235" t="n">
        <v>1</v>
      </c>
      <c r="X29" s="235" t="n">
        <v>1</v>
      </c>
      <c r="AA29" s="144" t="n">
        <v>0</v>
      </c>
    </row>
    <row r="30" customFormat="false" ht="13.8" hidden="false" customHeight="false" outlineLevel="0" collapsed="false">
      <c r="A30" s="238" t="s">
        <v>1324</v>
      </c>
      <c r="B30" s="238" t="s">
        <v>246</v>
      </c>
      <c r="C30" s="238" t="s">
        <v>238</v>
      </c>
      <c r="D30" s="238" t="s">
        <v>240</v>
      </c>
      <c r="E30" s="238" t="s">
        <v>244</v>
      </c>
      <c r="F30" s="238" t="s">
        <v>246</v>
      </c>
      <c r="O30" s="239" t="n">
        <v>43706</v>
      </c>
      <c r="P30" s="239" t="n">
        <v>43717</v>
      </c>
      <c r="Q30" s="239" t="n">
        <v>43709</v>
      </c>
      <c r="R30" s="240" t="n">
        <v>43715</v>
      </c>
      <c r="S30" s="144" t="n">
        <v>36</v>
      </c>
      <c r="T30" s="144" t="n">
        <v>5</v>
      </c>
      <c r="U30" s="234" t="n">
        <v>5</v>
      </c>
      <c r="V30" s="144" t="n">
        <v>1</v>
      </c>
      <c r="W30" s="235" t="n">
        <v>1</v>
      </c>
      <c r="X30" s="235" t="n">
        <v>1</v>
      </c>
      <c r="AA30" s="144" t="n">
        <v>5</v>
      </c>
    </row>
    <row r="31" customFormat="false" ht="13.8" hidden="false" customHeight="false" outlineLevel="0" collapsed="false">
      <c r="A31" s="238" t="s">
        <v>1324</v>
      </c>
      <c r="B31" s="238" t="s">
        <v>246</v>
      </c>
      <c r="C31" s="238" t="s">
        <v>238</v>
      </c>
      <c r="D31" s="238" t="s">
        <v>240</v>
      </c>
      <c r="E31" s="238" t="s">
        <v>244</v>
      </c>
      <c r="F31" s="238" t="s">
        <v>246</v>
      </c>
      <c r="O31" s="239" t="n">
        <v>43706</v>
      </c>
      <c r="P31" s="239" t="n">
        <v>43717</v>
      </c>
      <c r="Q31" s="239" t="n">
        <v>43716</v>
      </c>
      <c r="R31" s="240" t="n">
        <v>43722</v>
      </c>
      <c r="S31" s="144" t="n">
        <v>37</v>
      </c>
      <c r="T31" s="144" t="n">
        <v>1</v>
      </c>
      <c r="U31" s="234" t="n">
        <v>1</v>
      </c>
      <c r="V31" s="144" t="n">
        <v>1</v>
      </c>
      <c r="W31" s="235" t="n">
        <v>1</v>
      </c>
      <c r="X31" s="235" t="n">
        <v>1</v>
      </c>
      <c r="AA31" s="144" t="n">
        <v>3</v>
      </c>
    </row>
    <row r="32" customFormat="false" ht="13.8" hidden="false" customHeight="false" outlineLevel="0" collapsed="false">
      <c r="A32" s="238" t="s">
        <v>1324</v>
      </c>
      <c r="B32" s="238" t="s">
        <v>246</v>
      </c>
      <c r="C32" s="238" t="s">
        <v>238</v>
      </c>
      <c r="D32" s="238" t="s">
        <v>240</v>
      </c>
      <c r="E32" s="238" t="s">
        <v>244</v>
      </c>
      <c r="F32" s="238" t="s">
        <v>246</v>
      </c>
      <c r="O32" s="239" t="n">
        <v>43706</v>
      </c>
      <c r="P32" s="239" t="n">
        <v>43717</v>
      </c>
      <c r="Q32" s="239" t="n">
        <v>43723</v>
      </c>
      <c r="R32" s="240" t="n">
        <v>43729</v>
      </c>
      <c r="S32" s="144" t="n">
        <v>38</v>
      </c>
      <c r="T32" s="144" t="n">
        <v>0</v>
      </c>
      <c r="U32" s="234" t="n">
        <v>0</v>
      </c>
      <c r="V32" s="144" t="n">
        <v>1</v>
      </c>
      <c r="W32" s="235" t="n">
        <v>1</v>
      </c>
      <c r="X32" s="235" t="n">
        <v>1</v>
      </c>
      <c r="AA32" s="144" t="n">
        <v>0</v>
      </c>
    </row>
    <row r="33" customFormat="false" ht="13.8" hidden="false" customHeight="false" outlineLevel="0" collapsed="false">
      <c r="A33" s="238" t="s">
        <v>1324</v>
      </c>
      <c r="B33" s="238" t="s">
        <v>246</v>
      </c>
      <c r="C33" s="238" t="s">
        <v>238</v>
      </c>
      <c r="D33" s="238" t="s">
        <v>240</v>
      </c>
      <c r="E33" s="238" t="s">
        <v>244</v>
      </c>
      <c r="F33" s="238" t="s">
        <v>246</v>
      </c>
      <c r="O33" s="239" t="n">
        <v>43706</v>
      </c>
      <c r="P33" s="239" t="n">
        <v>43717</v>
      </c>
      <c r="Q33" s="239" t="n">
        <v>43730</v>
      </c>
      <c r="R33" s="240" t="n">
        <v>43736</v>
      </c>
      <c r="S33" s="144" t="n">
        <v>39</v>
      </c>
      <c r="T33" s="144" t="n">
        <v>0</v>
      </c>
      <c r="U33" s="234" t="n">
        <v>0</v>
      </c>
      <c r="V33" s="144" t="n">
        <v>1</v>
      </c>
      <c r="W33" s="235" t="n">
        <v>1</v>
      </c>
      <c r="X33" s="235" t="n">
        <v>1</v>
      </c>
      <c r="AA33" s="144" t="n">
        <v>0</v>
      </c>
    </row>
    <row r="34" customFormat="false" ht="13.8" hidden="false" customHeight="false" outlineLevel="0" collapsed="false">
      <c r="A34" s="238" t="s">
        <v>1324</v>
      </c>
      <c r="B34" s="238" t="s">
        <v>248</v>
      </c>
      <c r="C34" s="238" t="s">
        <v>238</v>
      </c>
      <c r="D34" s="238" t="s">
        <v>240</v>
      </c>
      <c r="E34" s="238" t="s">
        <v>244</v>
      </c>
      <c r="F34" s="238" t="s">
        <v>248</v>
      </c>
      <c r="O34" s="239" t="n">
        <v>43706</v>
      </c>
      <c r="P34" s="239" t="n">
        <v>43717</v>
      </c>
      <c r="Q34" s="239" t="n">
        <v>43702</v>
      </c>
      <c r="R34" s="240" t="n">
        <v>43708</v>
      </c>
      <c r="S34" s="144" t="n">
        <v>35</v>
      </c>
      <c r="T34" s="144" t="n">
        <v>2</v>
      </c>
      <c r="U34" s="234" t="n">
        <v>2</v>
      </c>
      <c r="V34" s="144" t="n">
        <v>1</v>
      </c>
      <c r="W34" s="235" t="n">
        <v>1</v>
      </c>
      <c r="X34" s="235" t="n">
        <v>0.45</v>
      </c>
      <c r="AA34" s="144" t="n">
        <v>2</v>
      </c>
    </row>
    <row r="35" customFormat="false" ht="13.8" hidden="false" customHeight="false" outlineLevel="0" collapsed="false">
      <c r="A35" s="238" t="s">
        <v>1324</v>
      </c>
      <c r="B35" s="238" t="s">
        <v>248</v>
      </c>
      <c r="C35" s="238" t="s">
        <v>238</v>
      </c>
      <c r="D35" s="238" t="s">
        <v>240</v>
      </c>
      <c r="E35" s="238" t="s">
        <v>244</v>
      </c>
      <c r="F35" s="238" t="s">
        <v>248</v>
      </c>
      <c r="O35" s="239" t="n">
        <v>43706</v>
      </c>
      <c r="P35" s="239" t="n">
        <v>43717</v>
      </c>
      <c r="Q35" s="239" t="n">
        <v>43709</v>
      </c>
      <c r="R35" s="240" t="n">
        <v>43715</v>
      </c>
      <c r="S35" s="144" t="n">
        <v>36</v>
      </c>
      <c r="T35" s="144" t="n">
        <v>5</v>
      </c>
      <c r="U35" s="234" t="n">
        <v>5</v>
      </c>
      <c r="V35" s="144" t="n">
        <v>1</v>
      </c>
      <c r="W35" s="235" t="n">
        <v>1</v>
      </c>
      <c r="X35" s="235" t="n">
        <v>0.45</v>
      </c>
      <c r="AA35" s="144" t="n">
        <v>1.6</v>
      </c>
    </row>
    <row r="36" customFormat="false" ht="13.8" hidden="false" customHeight="false" outlineLevel="0" collapsed="false">
      <c r="A36" s="238" t="s">
        <v>1324</v>
      </c>
      <c r="B36" s="238" t="s">
        <v>248</v>
      </c>
      <c r="C36" s="238" t="s">
        <v>238</v>
      </c>
      <c r="D36" s="238" t="s">
        <v>240</v>
      </c>
      <c r="E36" s="238" t="s">
        <v>244</v>
      </c>
      <c r="F36" s="238" t="s">
        <v>248</v>
      </c>
      <c r="O36" s="239" t="n">
        <v>43706</v>
      </c>
      <c r="P36" s="239" t="n">
        <v>43717</v>
      </c>
      <c r="Q36" s="239" t="n">
        <v>43716</v>
      </c>
      <c r="R36" s="240" t="n">
        <v>43722</v>
      </c>
      <c r="S36" s="144" t="n">
        <v>37</v>
      </c>
      <c r="T36" s="144" t="n">
        <v>1</v>
      </c>
      <c r="U36" s="234" t="n">
        <v>1</v>
      </c>
      <c r="V36" s="144" t="n">
        <v>1</v>
      </c>
      <c r="W36" s="235" t="n">
        <v>1</v>
      </c>
      <c r="X36" s="235" t="n">
        <v>0.45</v>
      </c>
      <c r="AA36" s="144" t="n">
        <v>0</v>
      </c>
    </row>
    <row r="37" customFormat="false" ht="13.8" hidden="false" customHeight="false" outlineLevel="0" collapsed="false">
      <c r="A37" s="238" t="s">
        <v>1323</v>
      </c>
      <c r="B37" s="238" t="s">
        <v>253</v>
      </c>
      <c r="C37" s="238" t="s">
        <v>238</v>
      </c>
      <c r="D37" s="238" t="s">
        <v>251</v>
      </c>
      <c r="E37" s="238" t="s">
        <v>253</v>
      </c>
      <c r="O37" s="239" t="n">
        <v>43720</v>
      </c>
      <c r="P37" s="239" t="n">
        <v>43738</v>
      </c>
      <c r="Q37" s="239" t="n">
        <v>43716</v>
      </c>
      <c r="R37" s="240" t="n">
        <v>43722</v>
      </c>
      <c r="S37" s="144" t="n">
        <v>37</v>
      </c>
      <c r="T37" s="144" t="n">
        <v>0</v>
      </c>
      <c r="U37" s="234" t="n">
        <v>0</v>
      </c>
      <c r="V37" s="144" t="n">
        <v>1</v>
      </c>
      <c r="W37" s="235" t="n">
        <v>0.818181818181818</v>
      </c>
      <c r="X37" s="235" t="n">
        <v>0</v>
      </c>
      <c r="AA37" s="144" t="n">
        <v>0</v>
      </c>
    </row>
    <row r="38" customFormat="false" ht="13.8" hidden="false" customHeight="false" outlineLevel="0" collapsed="false">
      <c r="A38" s="238" t="s">
        <v>1323</v>
      </c>
      <c r="B38" s="238" t="s">
        <v>253</v>
      </c>
      <c r="C38" s="238" t="s">
        <v>238</v>
      </c>
      <c r="D38" s="238" t="s">
        <v>251</v>
      </c>
      <c r="E38" s="238" t="s">
        <v>253</v>
      </c>
      <c r="O38" s="239" t="n">
        <v>43720</v>
      </c>
      <c r="P38" s="239" t="n">
        <v>43738</v>
      </c>
      <c r="Q38" s="239" t="n">
        <v>43723</v>
      </c>
      <c r="R38" s="240" t="n">
        <v>43729</v>
      </c>
      <c r="S38" s="144" t="n">
        <v>38</v>
      </c>
      <c r="T38" s="144" t="n">
        <v>5</v>
      </c>
      <c r="U38" s="234" t="n">
        <v>5</v>
      </c>
      <c r="V38" s="144" t="n">
        <v>1</v>
      </c>
      <c r="W38" s="235" t="n">
        <v>0.818181818181818</v>
      </c>
      <c r="X38" s="235" t="n">
        <v>0</v>
      </c>
      <c r="AA38" s="144" t="n">
        <v>0</v>
      </c>
    </row>
    <row r="39" customFormat="false" ht="13.8" hidden="false" customHeight="false" outlineLevel="0" collapsed="false">
      <c r="A39" s="238" t="s">
        <v>1323</v>
      </c>
      <c r="B39" s="238" t="s">
        <v>253</v>
      </c>
      <c r="C39" s="238" t="s">
        <v>238</v>
      </c>
      <c r="D39" s="238" t="s">
        <v>251</v>
      </c>
      <c r="E39" s="238" t="s">
        <v>253</v>
      </c>
      <c r="O39" s="239" t="n">
        <v>43720</v>
      </c>
      <c r="P39" s="239" t="n">
        <v>43738</v>
      </c>
      <c r="Q39" s="239" t="n">
        <v>43730</v>
      </c>
      <c r="R39" s="240" t="n">
        <v>43736</v>
      </c>
      <c r="S39" s="144" t="n">
        <v>39</v>
      </c>
      <c r="T39" s="144" t="n">
        <v>5</v>
      </c>
      <c r="U39" s="234" t="n">
        <v>4</v>
      </c>
      <c r="V39" s="144" t="n">
        <v>1</v>
      </c>
      <c r="W39" s="235" t="n">
        <v>0.818181818181818</v>
      </c>
      <c r="X39" s="235" t="n">
        <v>0</v>
      </c>
      <c r="AA39" s="144" t="n">
        <v>0</v>
      </c>
    </row>
    <row r="40" customFormat="false" ht="13.8" hidden="false" customHeight="false" outlineLevel="0" collapsed="false">
      <c r="A40" s="238" t="s">
        <v>1323</v>
      </c>
      <c r="B40" s="238" t="s">
        <v>253</v>
      </c>
      <c r="C40" s="238" t="s">
        <v>238</v>
      </c>
      <c r="D40" s="238" t="s">
        <v>251</v>
      </c>
      <c r="E40" s="238" t="s">
        <v>253</v>
      </c>
      <c r="O40" s="239" t="n">
        <v>43720</v>
      </c>
      <c r="P40" s="239" t="n">
        <v>43738</v>
      </c>
      <c r="Q40" s="239" t="n">
        <v>43737</v>
      </c>
      <c r="R40" s="240" t="n">
        <v>43743</v>
      </c>
      <c r="S40" s="144" t="n">
        <v>40</v>
      </c>
      <c r="T40" s="144" t="n">
        <v>1</v>
      </c>
      <c r="U40" s="234" t="n">
        <v>0</v>
      </c>
      <c r="V40" s="144" t="n">
        <v>1</v>
      </c>
      <c r="W40" s="235" t="n">
        <v>0.818181818181818</v>
      </c>
      <c r="X40" s="235" t="n">
        <v>0</v>
      </c>
      <c r="AA40" s="144" t="n">
        <v>0</v>
      </c>
    </row>
    <row r="41" customFormat="false" ht="13.8" hidden="false" customHeight="false" outlineLevel="0" collapsed="false">
      <c r="A41" s="238" t="s">
        <v>1324</v>
      </c>
      <c r="B41" s="238" t="s">
        <v>258</v>
      </c>
      <c r="C41" s="238" t="s">
        <v>238</v>
      </c>
      <c r="D41" s="238" t="s">
        <v>251</v>
      </c>
      <c r="E41" s="238" t="s">
        <v>256</v>
      </c>
      <c r="F41" s="238" t="s">
        <v>258</v>
      </c>
      <c r="O41" s="239" t="n">
        <v>43727</v>
      </c>
      <c r="P41" s="239" t="n">
        <v>43738</v>
      </c>
      <c r="Q41" s="239" t="n">
        <v>43723</v>
      </c>
      <c r="R41" s="240" t="n">
        <v>43729</v>
      </c>
      <c r="S41" s="144" t="n">
        <v>38</v>
      </c>
      <c r="T41" s="144" t="n">
        <v>2</v>
      </c>
      <c r="U41" s="234" t="n">
        <v>2</v>
      </c>
      <c r="V41" s="144" t="n">
        <v>1</v>
      </c>
      <c r="W41" s="235" t="n">
        <v>0.75</v>
      </c>
      <c r="X41" s="235" t="n">
        <v>0</v>
      </c>
      <c r="AA41" s="144" t="n">
        <v>0</v>
      </c>
    </row>
    <row r="42" customFormat="false" ht="13.8" hidden="false" customHeight="false" outlineLevel="0" collapsed="false">
      <c r="A42" s="238" t="s">
        <v>1324</v>
      </c>
      <c r="B42" s="238" t="s">
        <v>258</v>
      </c>
      <c r="C42" s="238" t="s">
        <v>238</v>
      </c>
      <c r="D42" s="238" t="s">
        <v>251</v>
      </c>
      <c r="E42" s="238" t="s">
        <v>256</v>
      </c>
      <c r="F42" s="238" t="s">
        <v>258</v>
      </c>
      <c r="O42" s="239" t="n">
        <v>43727</v>
      </c>
      <c r="P42" s="239" t="n">
        <v>43738</v>
      </c>
      <c r="Q42" s="239" t="n">
        <v>43730</v>
      </c>
      <c r="R42" s="240" t="n">
        <v>43736</v>
      </c>
      <c r="S42" s="144" t="n">
        <v>39</v>
      </c>
      <c r="T42" s="144" t="n">
        <v>5</v>
      </c>
      <c r="U42" s="234" t="n">
        <v>4</v>
      </c>
      <c r="V42" s="144" t="n">
        <v>1</v>
      </c>
      <c r="W42" s="235" t="n">
        <v>0.75</v>
      </c>
      <c r="X42" s="235" t="n">
        <v>0</v>
      </c>
      <c r="AA42" s="144" t="n">
        <v>0</v>
      </c>
    </row>
    <row r="43" customFormat="false" ht="13.8" hidden="false" customHeight="false" outlineLevel="0" collapsed="false">
      <c r="A43" s="238" t="s">
        <v>1324</v>
      </c>
      <c r="B43" s="238" t="s">
        <v>258</v>
      </c>
      <c r="C43" s="238" t="s">
        <v>238</v>
      </c>
      <c r="D43" s="238" t="s">
        <v>251</v>
      </c>
      <c r="E43" s="238" t="s">
        <v>256</v>
      </c>
      <c r="F43" s="238" t="s">
        <v>258</v>
      </c>
      <c r="O43" s="239" t="n">
        <v>43727</v>
      </c>
      <c r="P43" s="239" t="n">
        <v>43738</v>
      </c>
      <c r="Q43" s="239" t="n">
        <v>43737</v>
      </c>
      <c r="R43" s="240" t="n">
        <v>43743</v>
      </c>
      <c r="S43" s="144" t="n">
        <v>40</v>
      </c>
      <c r="T43" s="144" t="n">
        <v>1</v>
      </c>
      <c r="U43" s="234" t="n">
        <v>0</v>
      </c>
      <c r="V43" s="144" t="n">
        <v>1</v>
      </c>
      <c r="W43" s="235" t="n">
        <v>0.75</v>
      </c>
      <c r="X43" s="235" t="n">
        <v>0</v>
      </c>
      <c r="AA43" s="144" t="n">
        <v>0</v>
      </c>
    </row>
    <row r="44" customFormat="false" ht="13.8" hidden="false" customHeight="false" outlineLevel="0" collapsed="false">
      <c r="A44" s="238" t="s">
        <v>1324</v>
      </c>
      <c r="B44" s="238" t="s">
        <v>260</v>
      </c>
      <c r="C44" s="238" t="s">
        <v>238</v>
      </c>
      <c r="D44" s="238" t="s">
        <v>251</v>
      </c>
      <c r="E44" s="238" t="s">
        <v>256</v>
      </c>
      <c r="F44" s="238" t="s">
        <v>260</v>
      </c>
      <c r="O44" s="239" t="n">
        <v>43734</v>
      </c>
      <c r="P44" s="239" t="n">
        <v>43745</v>
      </c>
      <c r="Q44" s="239" t="n">
        <v>43730</v>
      </c>
      <c r="R44" s="240" t="n">
        <v>43736</v>
      </c>
      <c r="S44" s="144" t="n">
        <v>39</v>
      </c>
      <c r="T44" s="144" t="n">
        <v>2</v>
      </c>
      <c r="U44" s="234" t="n">
        <v>1</v>
      </c>
      <c r="V44" s="144" t="n">
        <v>1</v>
      </c>
      <c r="W44" s="235" t="n">
        <v>0.142857142857143</v>
      </c>
      <c r="X44" s="235" t="n">
        <v>0</v>
      </c>
      <c r="AA44" s="144" t="n">
        <v>0</v>
      </c>
    </row>
    <row r="45" customFormat="false" ht="13.8" hidden="false" customHeight="false" outlineLevel="0" collapsed="false">
      <c r="A45" s="238" t="s">
        <v>1324</v>
      </c>
      <c r="B45" s="238" t="s">
        <v>260</v>
      </c>
      <c r="C45" s="238" t="s">
        <v>238</v>
      </c>
      <c r="D45" s="238" t="s">
        <v>251</v>
      </c>
      <c r="E45" s="238" t="s">
        <v>256</v>
      </c>
      <c r="F45" s="238" t="s">
        <v>260</v>
      </c>
      <c r="O45" s="239" t="n">
        <v>43734</v>
      </c>
      <c r="P45" s="239" t="n">
        <v>43745</v>
      </c>
      <c r="Q45" s="239" t="n">
        <v>43737</v>
      </c>
      <c r="R45" s="240" t="n">
        <v>43743</v>
      </c>
      <c r="S45" s="144" t="n">
        <v>40</v>
      </c>
      <c r="T45" s="144" t="n">
        <v>4</v>
      </c>
      <c r="U45" s="234" t="n">
        <v>0</v>
      </c>
      <c r="V45" s="144" t="n">
        <v>1</v>
      </c>
      <c r="W45" s="235" t="n">
        <v>0.142857142857143</v>
      </c>
      <c r="X45" s="235" t="n">
        <v>0</v>
      </c>
      <c r="AA45" s="144" t="n">
        <v>0</v>
      </c>
    </row>
    <row r="46" customFormat="false" ht="13.8" hidden="false" customHeight="false" outlineLevel="0" collapsed="false">
      <c r="A46" s="238" t="s">
        <v>1324</v>
      </c>
      <c r="B46" s="238" t="s">
        <v>260</v>
      </c>
      <c r="C46" s="238" t="s">
        <v>238</v>
      </c>
      <c r="D46" s="238" t="s">
        <v>251</v>
      </c>
      <c r="E46" s="238" t="s">
        <v>256</v>
      </c>
      <c r="F46" s="238" t="s">
        <v>260</v>
      </c>
      <c r="O46" s="239" t="n">
        <v>43734</v>
      </c>
      <c r="P46" s="239" t="n">
        <v>43745</v>
      </c>
      <c r="Q46" s="239" t="n">
        <v>43744</v>
      </c>
      <c r="R46" s="240" t="n">
        <v>43750</v>
      </c>
      <c r="S46" s="144" t="n">
        <v>41</v>
      </c>
      <c r="T46" s="144" t="n">
        <v>1</v>
      </c>
      <c r="U46" s="234" t="n">
        <v>0</v>
      </c>
      <c r="V46" s="144" t="n">
        <v>1</v>
      </c>
      <c r="W46" s="235" t="n">
        <v>0.142857142857143</v>
      </c>
      <c r="X46" s="235" t="n">
        <v>0</v>
      </c>
      <c r="AA46" s="144" t="n">
        <v>0</v>
      </c>
    </row>
    <row r="47" customFormat="false" ht="13.8" hidden="false" customHeight="false" outlineLevel="0" collapsed="false">
      <c r="A47" s="238" t="s">
        <v>1324</v>
      </c>
      <c r="B47" s="238" t="s">
        <v>262</v>
      </c>
      <c r="C47" s="238" t="s">
        <v>238</v>
      </c>
      <c r="D47" s="238" t="s">
        <v>251</v>
      </c>
      <c r="E47" s="238" t="s">
        <v>256</v>
      </c>
      <c r="F47" s="238" t="s">
        <v>262</v>
      </c>
      <c r="O47" s="239" t="n">
        <v>43734</v>
      </c>
      <c r="P47" s="239" t="n">
        <v>43752</v>
      </c>
      <c r="Q47" s="239" t="n">
        <v>43730</v>
      </c>
      <c r="R47" s="240" t="n">
        <v>43736</v>
      </c>
      <c r="S47" s="144" t="n">
        <v>39</v>
      </c>
      <c r="T47" s="144" t="n">
        <v>2</v>
      </c>
      <c r="U47" s="234" t="n">
        <v>1</v>
      </c>
      <c r="V47" s="144" t="n">
        <v>1</v>
      </c>
      <c r="W47" s="235" t="n">
        <v>0.0909090909090909</v>
      </c>
      <c r="X47" s="235" t="n">
        <v>0</v>
      </c>
      <c r="AA47" s="144" t="n">
        <v>0</v>
      </c>
    </row>
    <row r="48" customFormat="false" ht="13.8" hidden="false" customHeight="false" outlineLevel="0" collapsed="false">
      <c r="A48" s="238" t="s">
        <v>1324</v>
      </c>
      <c r="B48" s="238" t="s">
        <v>262</v>
      </c>
      <c r="C48" s="238" t="s">
        <v>238</v>
      </c>
      <c r="D48" s="238" t="s">
        <v>251</v>
      </c>
      <c r="E48" s="238" t="s">
        <v>256</v>
      </c>
      <c r="F48" s="238" t="s">
        <v>262</v>
      </c>
      <c r="O48" s="239" t="n">
        <v>43734</v>
      </c>
      <c r="P48" s="239" t="n">
        <v>43752</v>
      </c>
      <c r="Q48" s="239" t="n">
        <v>43737</v>
      </c>
      <c r="R48" s="240" t="n">
        <v>43743</v>
      </c>
      <c r="S48" s="144" t="n">
        <v>40</v>
      </c>
      <c r="T48" s="144" t="n">
        <v>4</v>
      </c>
      <c r="U48" s="234" t="n">
        <v>0</v>
      </c>
      <c r="V48" s="144" t="n">
        <v>1</v>
      </c>
      <c r="W48" s="235" t="n">
        <v>0.0909090909090909</v>
      </c>
      <c r="X48" s="235" t="n">
        <v>0</v>
      </c>
      <c r="AA48" s="144" t="n">
        <v>0</v>
      </c>
    </row>
    <row r="49" customFormat="false" ht="13.8" hidden="false" customHeight="false" outlineLevel="0" collapsed="false">
      <c r="A49" s="238" t="s">
        <v>1324</v>
      </c>
      <c r="B49" s="238" t="s">
        <v>262</v>
      </c>
      <c r="C49" s="238" t="s">
        <v>238</v>
      </c>
      <c r="D49" s="238" t="s">
        <v>251</v>
      </c>
      <c r="E49" s="238" t="s">
        <v>256</v>
      </c>
      <c r="F49" s="238" t="s">
        <v>262</v>
      </c>
      <c r="O49" s="239" t="n">
        <v>43734</v>
      </c>
      <c r="P49" s="239" t="n">
        <v>43752</v>
      </c>
      <c r="Q49" s="239" t="n">
        <v>43744</v>
      </c>
      <c r="R49" s="240" t="n">
        <v>43750</v>
      </c>
      <c r="S49" s="144" t="n">
        <v>41</v>
      </c>
      <c r="T49" s="144" t="n">
        <v>4</v>
      </c>
      <c r="U49" s="234" t="n">
        <v>0</v>
      </c>
      <c r="V49" s="144" t="n">
        <v>1</v>
      </c>
      <c r="W49" s="235" t="n">
        <v>0.0909090909090909</v>
      </c>
      <c r="X49" s="235" t="n">
        <v>0</v>
      </c>
      <c r="AA49" s="144" t="n">
        <v>0</v>
      </c>
    </row>
    <row r="50" customFormat="false" ht="13.8" hidden="false" customHeight="false" outlineLevel="0" collapsed="false">
      <c r="A50" s="238" t="s">
        <v>1324</v>
      </c>
      <c r="B50" s="238" t="s">
        <v>262</v>
      </c>
      <c r="C50" s="238" t="s">
        <v>238</v>
      </c>
      <c r="D50" s="238" t="s">
        <v>251</v>
      </c>
      <c r="E50" s="238" t="s">
        <v>256</v>
      </c>
      <c r="F50" s="238" t="s">
        <v>262</v>
      </c>
      <c r="O50" s="239" t="n">
        <v>43734</v>
      </c>
      <c r="P50" s="239" t="n">
        <v>43752</v>
      </c>
      <c r="Q50" s="239" t="n">
        <v>43751</v>
      </c>
      <c r="R50" s="240" t="n">
        <v>43757</v>
      </c>
      <c r="S50" s="144" t="n">
        <v>42</v>
      </c>
      <c r="T50" s="144" t="n">
        <v>1</v>
      </c>
      <c r="U50" s="234" t="n">
        <v>0</v>
      </c>
      <c r="V50" s="144" t="n">
        <v>1</v>
      </c>
      <c r="W50" s="235" t="n">
        <v>0.0909090909090909</v>
      </c>
      <c r="X50" s="235" t="n">
        <v>0</v>
      </c>
      <c r="AA50" s="144" t="n">
        <v>0</v>
      </c>
    </row>
    <row r="51" customFormat="false" ht="13.8" hidden="false" customHeight="false" outlineLevel="0" collapsed="false">
      <c r="A51" s="238" t="s">
        <v>1323</v>
      </c>
      <c r="B51" s="238" t="s">
        <v>264</v>
      </c>
      <c r="C51" s="238" t="s">
        <v>238</v>
      </c>
      <c r="D51" s="238" t="s">
        <v>251</v>
      </c>
      <c r="E51" s="238" t="s">
        <v>264</v>
      </c>
      <c r="O51" s="239" t="n">
        <v>43755</v>
      </c>
      <c r="P51" s="239" t="n">
        <v>43759</v>
      </c>
      <c r="Q51" s="239" t="n">
        <v>43751</v>
      </c>
      <c r="R51" s="240" t="n">
        <v>43757</v>
      </c>
      <c r="S51" s="144" t="n">
        <v>42</v>
      </c>
      <c r="T51" s="144" t="n">
        <v>2</v>
      </c>
      <c r="U51" s="234" t="n">
        <v>0</v>
      </c>
      <c r="V51" s="144" t="n">
        <v>1</v>
      </c>
      <c r="W51" s="235" t="n">
        <v>0</v>
      </c>
      <c r="X51" s="235" t="n">
        <v>0</v>
      </c>
      <c r="AA51" s="144" t="n">
        <v>0</v>
      </c>
    </row>
    <row r="52" customFormat="false" ht="13.8" hidden="false" customHeight="false" outlineLevel="0" collapsed="false">
      <c r="A52" s="238" t="s">
        <v>1323</v>
      </c>
      <c r="B52" s="238" t="s">
        <v>264</v>
      </c>
      <c r="C52" s="238" t="s">
        <v>238</v>
      </c>
      <c r="D52" s="238" t="s">
        <v>251</v>
      </c>
      <c r="E52" s="238" t="s">
        <v>264</v>
      </c>
      <c r="O52" s="239" t="n">
        <v>43755</v>
      </c>
      <c r="P52" s="239" t="n">
        <v>43759</v>
      </c>
      <c r="Q52" s="239" t="n">
        <v>43758</v>
      </c>
      <c r="R52" s="240" t="n">
        <v>43764</v>
      </c>
      <c r="S52" s="144" t="n">
        <v>43</v>
      </c>
      <c r="T52" s="144" t="n">
        <v>1</v>
      </c>
      <c r="U52" s="234" t="n">
        <v>0</v>
      </c>
      <c r="V52" s="144" t="n">
        <v>1</v>
      </c>
      <c r="W52" s="235" t="n">
        <v>0</v>
      </c>
      <c r="X52" s="235" t="n">
        <v>0</v>
      </c>
      <c r="AA52" s="144" t="n">
        <v>0</v>
      </c>
    </row>
    <row r="53" customFormat="false" ht="13.8" hidden="false" customHeight="false" outlineLevel="0" collapsed="false">
      <c r="A53" s="238" t="s">
        <v>1324</v>
      </c>
      <c r="B53" s="238" t="s">
        <v>270</v>
      </c>
      <c r="C53" s="238" t="s">
        <v>238</v>
      </c>
      <c r="D53" s="238" t="s">
        <v>266</v>
      </c>
      <c r="E53" s="238" t="s">
        <v>268</v>
      </c>
      <c r="F53" s="238" t="s">
        <v>270</v>
      </c>
      <c r="O53" s="239" t="n">
        <v>43755</v>
      </c>
      <c r="P53" s="239" t="n">
        <v>43759</v>
      </c>
      <c r="Q53" s="239" t="n">
        <v>43751</v>
      </c>
      <c r="R53" s="240" t="n">
        <v>43757</v>
      </c>
      <c r="S53" s="144" t="n">
        <v>42</v>
      </c>
      <c r="T53" s="144" t="n">
        <v>2</v>
      </c>
      <c r="U53" s="234" t="n">
        <v>0</v>
      </c>
      <c r="V53" s="144" t="n">
        <v>1</v>
      </c>
      <c r="W53" s="235" t="n">
        <v>0</v>
      </c>
      <c r="X53" s="235" t="n">
        <v>0</v>
      </c>
      <c r="AA53" s="144" t="n">
        <v>0</v>
      </c>
    </row>
    <row r="54" customFormat="false" ht="13.8" hidden="false" customHeight="false" outlineLevel="0" collapsed="false">
      <c r="A54" s="238" t="s">
        <v>1324</v>
      </c>
      <c r="B54" s="238" t="s">
        <v>270</v>
      </c>
      <c r="C54" s="238" t="s">
        <v>238</v>
      </c>
      <c r="D54" s="238" t="s">
        <v>266</v>
      </c>
      <c r="E54" s="238" t="s">
        <v>268</v>
      </c>
      <c r="F54" s="238" t="s">
        <v>270</v>
      </c>
      <c r="O54" s="239" t="n">
        <v>43755</v>
      </c>
      <c r="P54" s="239" t="n">
        <v>43759</v>
      </c>
      <c r="Q54" s="239" t="n">
        <v>43758</v>
      </c>
      <c r="R54" s="240" t="n">
        <v>43764</v>
      </c>
      <c r="S54" s="144" t="n">
        <v>43</v>
      </c>
      <c r="T54" s="144" t="n">
        <v>1</v>
      </c>
      <c r="U54" s="234" t="n">
        <v>0</v>
      </c>
      <c r="V54" s="144" t="n">
        <v>1</v>
      </c>
      <c r="W54" s="235" t="n">
        <v>0</v>
      </c>
      <c r="X54" s="235" t="n">
        <v>0</v>
      </c>
      <c r="AA54" s="144" t="n">
        <v>0</v>
      </c>
    </row>
    <row r="55" customFormat="false" ht="13.8" hidden="false" customHeight="false" outlineLevel="0" collapsed="false">
      <c r="A55" s="238" t="s">
        <v>1325</v>
      </c>
      <c r="B55" s="238" t="s">
        <v>277</v>
      </c>
      <c r="C55" s="238" t="s">
        <v>238</v>
      </c>
      <c r="D55" s="238" t="s">
        <v>266</v>
      </c>
      <c r="E55" s="238" t="s">
        <v>268</v>
      </c>
      <c r="F55" s="238" t="s">
        <v>273</v>
      </c>
      <c r="G55" s="238" t="s">
        <v>275</v>
      </c>
      <c r="H55" s="238" t="s">
        <v>277</v>
      </c>
      <c r="O55" s="239" t="n">
        <v>43755</v>
      </c>
      <c r="P55" s="239" t="n">
        <v>43759</v>
      </c>
      <c r="Q55" s="239" t="n">
        <v>43751</v>
      </c>
      <c r="R55" s="240" t="n">
        <v>43757</v>
      </c>
      <c r="S55" s="144" t="n">
        <v>42</v>
      </c>
      <c r="T55" s="144" t="n">
        <v>2</v>
      </c>
      <c r="U55" s="234" t="n">
        <v>0</v>
      </c>
      <c r="V55" s="144" t="n">
        <v>1</v>
      </c>
      <c r="W55" s="235" t="n">
        <v>0</v>
      </c>
      <c r="X55" s="235" t="n">
        <v>0</v>
      </c>
      <c r="AA55" s="144" t="n">
        <v>0</v>
      </c>
    </row>
    <row r="56" customFormat="false" ht="13.8" hidden="false" customHeight="false" outlineLevel="0" collapsed="false">
      <c r="A56" s="238" t="s">
        <v>1325</v>
      </c>
      <c r="B56" s="238" t="s">
        <v>277</v>
      </c>
      <c r="C56" s="238" t="s">
        <v>238</v>
      </c>
      <c r="D56" s="238" t="s">
        <v>266</v>
      </c>
      <c r="E56" s="238" t="s">
        <v>268</v>
      </c>
      <c r="F56" s="238" t="s">
        <v>273</v>
      </c>
      <c r="G56" s="238" t="s">
        <v>275</v>
      </c>
      <c r="H56" s="238" t="s">
        <v>277</v>
      </c>
      <c r="O56" s="239" t="n">
        <v>43755</v>
      </c>
      <c r="P56" s="239" t="n">
        <v>43759</v>
      </c>
      <c r="Q56" s="239" t="n">
        <v>43758</v>
      </c>
      <c r="R56" s="240" t="n">
        <v>43764</v>
      </c>
      <c r="S56" s="144" t="n">
        <v>43</v>
      </c>
      <c r="T56" s="144" t="n">
        <v>1</v>
      </c>
      <c r="U56" s="234" t="n">
        <v>0</v>
      </c>
      <c r="V56" s="144" t="n">
        <v>1</v>
      </c>
      <c r="W56" s="235" t="n">
        <v>0</v>
      </c>
      <c r="X56" s="235" t="n">
        <v>0</v>
      </c>
      <c r="AA56" s="144" t="n">
        <v>0</v>
      </c>
    </row>
    <row r="57" customFormat="false" ht="13.8" hidden="false" customHeight="false" outlineLevel="0" collapsed="false">
      <c r="A57" s="238" t="s">
        <v>1325</v>
      </c>
      <c r="B57" s="238" t="s">
        <v>279</v>
      </c>
      <c r="C57" s="238" t="s">
        <v>238</v>
      </c>
      <c r="D57" s="238" t="s">
        <v>266</v>
      </c>
      <c r="E57" s="238" t="s">
        <v>268</v>
      </c>
      <c r="F57" s="238" t="s">
        <v>273</v>
      </c>
      <c r="G57" s="238" t="s">
        <v>275</v>
      </c>
      <c r="H57" s="238" t="s">
        <v>279</v>
      </c>
      <c r="O57" s="239" t="n">
        <v>43762</v>
      </c>
      <c r="P57" s="239" t="n">
        <v>43766</v>
      </c>
      <c r="Q57" s="239" t="n">
        <v>43758</v>
      </c>
      <c r="R57" s="240" t="n">
        <v>43764</v>
      </c>
      <c r="S57" s="144" t="n">
        <v>43</v>
      </c>
      <c r="T57" s="144" t="n">
        <v>2</v>
      </c>
      <c r="U57" s="234" t="n">
        <v>0</v>
      </c>
      <c r="V57" s="144" t="n">
        <v>1</v>
      </c>
      <c r="W57" s="235" t="n">
        <v>0</v>
      </c>
      <c r="X57" s="235" t="n">
        <v>0</v>
      </c>
      <c r="AA57" s="144" t="n">
        <v>0</v>
      </c>
    </row>
    <row r="58" customFormat="false" ht="13.8" hidden="false" customHeight="false" outlineLevel="0" collapsed="false">
      <c r="A58" s="238" t="s">
        <v>1325</v>
      </c>
      <c r="B58" s="238" t="s">
        <v>279</v>
      </c>
      <c r="C58" s="238" t="s">
        <v>238</v>
      </c>
      <c r="D58" s="238" t="s">
        <v>266</v>
      </c>
      <c r="E58" s="238" t="s">
        <v>268</v>
      </c>
      <c r="F58" s="238" t="s">
        <v>273</v>
      </c>
      <c r="G58" s="238" t="s">
        <v>275</v>
      </c>
      <c r="H58" s="238" t="s">
        <v>279</v>
      </c>
      <c r="O58" s="239" t="n">
        <v>43762</v>
      </c>
      <c r="P58" s="239" t="n">
        <v>43766</v>
      </c>
      <c r="Q58" s="239" t="n">
        <v>43765</v>
      </c>
      <c r="R58" s="240" t="n">
        <v>43771</v>
      </c>
      <c r="S58" s="144" t="n">
        <v>44</v>
      </c>
      <c r="T58" s="144" t="n">
        <v>1</v>
      </c>
      <c r="U58" s="234" t="n">
        <v>0</v>
      </c>
      <c r="V58" s="144" t="n">
        <v>1</v>
      </c>
      <c r="W58" s="235" t="n">
        <v>0</v>
      </c>
      <c r="X58" s="235" t="n">
        <v>0</v>
      </c>
      <c r="AA58" s="144" t="n">
        <v>0</v>
      </c>
    </row>
    <row r="59" customFormat="false" ht="13.8" hidden="false" customHeight="false" outlineLevel="0" collapsed="false">
      <c r="A59" s="238" t="s">
        <v>1325</v>
      </c>
      <c r="B59" s="238" t="s">
        <v>282</v>
      </c>
      <c r="C59" s="238" t="s">
        <v>238</v>
      </c>
      <c r="D59" s="238" t="s">
        <v>266</v>
      </c>
      <c r="E59" s="238" t="s">
        <v>268</v>
      </c>
      <c r="F59" s="238" t="s">
        <v>273</v>
      </c>
      <c r="G59" s="238" t="s">
        <v>275</v>
      </c>
      <c r="H59" s="238" t="s">
        <v>282</v>
      </c>
      <c r="O59" s="239" t="n">
        <v>43762</v>
      </c>
      <c r="P59" s="239" t="n">
        <v>43773</v>
      </c>
      <c r="Q59" s="239" t="n">
        <v>43758</v>
      </c>
      <c r="R59" s="240" t="n">
        <v>43764</v>
      </c>
      <c r="S59" s="144" t="n">
        <v>43</v>
      </c>
      <c r="T59" s="144" t="n">
        <v>2</v>
      </c>
      <c r="U59" s="234" t="n">
        <v>0</v>
      </c>
      <c r="V59" s="144" t="n">
        <v>1</v>
      </c>
      <c r="W59" s="235" t="n">
        <v>0</v>
      </c>
      <c r="X59" s="235" t="n">
        <v>0</v>
      </c>
      <c r="AA59" s="144" t="n">
        <v>0</v>
      </c>
    </row>
    <row r="60" customFormat="false" ht="13.8" hidden="false" customHeight="false" outlineLevel="0" collapsed="false">
      <c r="A60" s="238" t="s">
        <v>1325</v>
      </c>
      <c r="B60" s="238" t="s">
        <v>282</v>
      </c>
      <c r="C60" s="238" t="s">
        <v>238</v>
      </c>
      <c r="D60" s="238" t="s">
        <v>266</v>
      </c>
      <c r="E60" s="238" t="s">
        <v>268</v>
      </c>
      <c r="F60" s="238" t="s">
        <v>273</v>
      </c>
      <c r="G60" s="238" t="s">
        <v>275</v>
      </c>
      <c r="H60" s="238" t="s">
        <v>282</v>
      </c>
      <c r="O60" s="239" t="n">
        <v>43762</v>
      </c>
      <c r="P60" s="239" t="n">
        <v>43773</v>
      </c>
      <c r="Q60" s="239" t="n">
        <v>43765</v>
      </c>
      <c r="R60" s="240" t="n">
        <v>43771</v>
      </c>
      <c r="S60" s="144" t="n">
        <v>44</v>
      </c>
      <c r="T60" s="144" t="n">
        <v>5</v>
      </c>
      <c r="U60" s="234" t="n">
        <v>0</v>
      </c>
      <c r="V60" s="144" t="n">
        <v>1</v>
      </c>
      <c r="W60" s="235" t="n">
        <v>0</v>
      </c>
      <c r="X60" s="235" t="n">
        <v>0</v>
      </c>
      <c r="AA60" s="144" t="n">
        <v>0</v>
      </c>
    </row>
    <row r="61" customFormat="false" ht="13.8" hidden="false" customHeight="false" outlineLevel="0" collapsed="false">
      <c r="A61" s="238" t="s">
        <v>1325</v>
      </c>
      <c r="B61" s="238" t="s">
        <v>282</v>
      </c>
      <c r="C61" s="238" t="s">
        <v>238</v>
      </c>
      <c r="D61" s="238" t="s">
        <v>266</v>
      </c>
      <c r="E61" s="238" t="s">
        <v>268</v>
      </c>
      <c r="F61" s="238" t="s">
        <v>273</v>
      </c>
      <c r="G61" s="238" t="s">
        <v>275</v>
      </c>
      <c r="H61" s="238" t="s">
        <v>282</v>
      </c>
      <c r="O61" s="239" t="n">
        <v>43762</v>
      </c>
      <c r="P61" s="239" t="n">
        <v>43773</v>
      </c>
      <c r="Q61" s="239" t="n">
        <v>43772</v>
      </c>
      <c r="R61" s="240" t="n">
        <v>43778</v>
      </c>
      <c r="S61" s="144" t="n">
        <v>45</v>
      </c>
      <c r="T61" s="144" t="n">
        <v>1</v>
      </c>
      <c r="U61" s="234" t="n">
        <v>0</v>
      </c>
      <c r="V61" s="144" t="n">
        <v>1</v>
      </c>
      <c r="W61" s="235" t="n">
        <v>0</v>
      </c>
      <c r="X61" s="235" t="n">
        <v>0</v>
      </c>
      <c r="AA61" s="144" t="n">
        <v>0</v>
      </c>
    </row>
    <row r="62" customFormat="false" ht="13.8" hidden="false" customHeight="false" outlineLevel="0" collapsed="false">
      <c r="A62" s="238" t="s">
        <v>1326</v>
      </c>
      <c r="B62" s="238" t="s">
        <v>284</v>
      </c>
      <c r="C62" s="238" t="s">
        <v>238</v>
      </c>
      <c r="D62" s="238" t="s">
        <v>266</v>
      </c>
      <c r="E62" s="238" t="s">
        <v>268</v>
      </c>
      <c r="F62" s="238" t="s">
        <v>273</v>
      </c>
      <c r="G62" s="238" t="s">
        <v>284</v>
      </c>
      <c r="O62" s="239" t="n">
        <v>43755</v>
      </c>
      <c r="P62" s="239" t="n">
        <v>43814</v>
      </c>
      <c r="Q62" s="239" t="n">
        <v>43751</v>
      </c>
      <c r="R62" s="240" t="n">
        <v>43757</v>
      </c>
      <c r="S62" s="144" t="n">
        <v>42</v>
      </c>
      <c r="T62" s="144" t="n">
        <v>2</v>
      </c>
      <c r="U62" s="234" t="n">
        <v>0</v>
      </c>
      <c r="V62" s="144" t="n">
        <v>1</v>
      </c>
      <c r="W62" s="235" t="n">
        <v>0</v>
      </c>
      <c r="X62" s="235" t="n">
        <v>0</v>
      </c>
      <c r="AA62" s="144" t="n">
        <v>0</v>
      </c>
    </row>
    <row r="63" customFormat="false" ht="13.8" hidden="false" customHeight="false" outlineLevel="0" collapsed="false">
      <c r="A63" s="238" t="s">
        <v>1326</v>
      </c>
      <c r="B63" s="238" t="s">
        <v>284</v>
      </c>
      <c r="C63" s="238" t="s">
        <v>238</v>
      </c>
      <c r="D63" s="238" t="s">
        <v>266</v>
      </c>
      <c r="E63" s="238" t="s">
        <v>268</v>
      </c>
      <c r="F63" s="238" t="s">
        <v>273</v>
      </c>
      <c r="G63" s="238" t="s">
        <v>284</v>
      </c>
      <c r="O63" s="239" t="n">
        <v>43755</v>
      </c>
      <c r="P63" s="239" t="n">
        <v>43814</v>
      </c>
      <c r="Q63" s="239" t="n">
        <v>43758</v>
      </c>
      <c r="R63" s="240" t="n">
        <v>43764</v>
      </c>
      <c r="S63" s="144" t="n">
        <v>43</v>
      </c>
      <c r="T63" s="144" t="n">
        <v>5</v>
      </c>
      <c r="U63" s="234" t="n">
        <v>0</v>
      </c>
      <c r="V63" s="144" t="n">
        <v>1</v>
      </c>
      <c r="W63" s="235" t="n">
        <v>0</v>
      </c>
      <c r="X63" s="235" t="n">
        <v>0</v>
      </c>
      <c r="AA63" s="144" t="n">
        <v>0</v>
      </c>
    </row>
    <row r="64" customFormat="false" ht="13.8" hidden="false" customHeight="false" outlineLevel="0" collapsed="false">
      <c r="A64" s="238" t="s">
        <v>1326</v>
      </c>
      <c r="B64" s="238" t="s">
        <v>284</v>
      </c>
      <c r="C64" s="238" t="s">
        <v>238</v>
      </c>
      <c r="D64" s="238" t="s">
        <v>266</v>
      </c>
      <c r="E64" s="238" t="s">
        <v>268</v>
      </c>
      <c r="F64" s="238" t="s">
        <v>273</v>
      </c>
      <c r="G64" s="238" t="s">
        <v>284</v>
      </c>
      <c r="O64" s="239" t="n">
        <v>43755</v>
      </c>
      <c r="P64" s="239" t="n">
        <v>43814</v>
      </c>
      <c r="Q64" s="239" t="n">
        <v>43765</v>
      </c>
      <c r="R64" s="240" t="n">
        <v>43771</v>
      </c>
      <c r="S64" s="144" t="n">
        <v>44</v>
      </c>
      <c r="T64" s="144" t="n">
        <v>5</v>
      </c>
      <c r="U64" s="234" t="n">
        <v>0</v>
      </c>
      <c r="V64" s="144" t="n">
        <v>1</v>
      </c>
      <c r="W64" s="235" t="n">
        <v>0</v>
      </c>
      <c r="X64" s="235" t="n">
        <v>0</v>
      </c>
      <c r="AA64" s="144" t="n">
        <v>0</v>
      </c>
    </row>
    <row r="65" customFormat="false" ht="13.8" hidden="false" customHeight="false" outlineLevel="0" collapsed="false">
      <c r="A65" s="238" t="s">
        <v>1326</v>
      </c>
      <c r="B65" s="238" t="s">
        <v>284</v>
      </c>
      <c r="C65" s="238" t="s">
        <v>238</v>
      </c>
      <c r="D65" s="238" t="s">
        <v>266</v>
      </c>
      <c r="E65" s="238" t="s">
        <v>268</v>
      </c>
      <c r="F65" s="238" t="s">
        <v>273</v>
      </c>
      <c r="G65" s="238" t="s">
        <v>284</v>
      </c>
      <c r="O65" s="239" t="n">
        <v>43755</v>
      </c>
      <c r="P65" s="239" t="n">
        <v>43814</v>
      </c>
      <c r="Q65" s="239" t="n">
        <v>43772</v>
      </c>
      <c r="R65" s="240" t="n">
        <v>43778</v>
      </c>
      <c r="S65" s="144" t="n">
        <v>45</v>
      </c>
      <c r="T65" s="144" t="n">
        <v>5</v>
      </c>
      <c r="U65" s="234" t="n">
        <v>0</v>
      </c>
      <c r="V65" s="144" t="n">
        <v>1</v>
      </c>
      <c r="W65" s="235" t="n">
        <v>0</v>
      </c>
      <c r="X65" s="235" t="n">
        <v>0</v>
      </c>
      <c r="AA65" s="144" t="n">
        <v>0</v>
      </c>
    </row>
    <row r="66" customFormat="false" ht="13.8" hidden="false" customHeight="false" outlineLevel="0" collapsed="false">
      <c r="A66" s="238" t="s">
        <v>1326</v>
      </c>
      <c r="B66" s="238" t="s">
        <v>284</v>
      </c>
      <c r="C66" s="238" t="s">
        <v>238</v>
      </c>
      <c r="D66" s="238" t="s">
        <v>266</v>
      </c>
      <c r="E66" s="238" t="s">
        <v>268</v>
      </c>
      <c r="F66" s="238" t="s">
        <v>273</v>
      </c>
      <c r="G66" s="238" t="s">
        <v>284</v>
      </c>
      <c r="O66" s="239" t="n">
        <v>43755</v>
      </c>
      <c r="P66" s="239" t="n">
        <v>43814</v>
      </c>
      <c r="Q66" s="239" t="n">
        <v>43779</v>
      </c>
      <c r="R66" s="240" t="n">
        <v>43785</v>
      </c>
      <c r="S66" s="144" t="n">
        <v>46</v>
      </c>
      <c r="T66" s="144" t="n">
        <v>5</v>
      </c>
      <c r="U66" s="234" t="n">
        <v>0</v>
      </c>
      <c r="V66" s="144" t="n">
        <v>1</v>
      </c>
      <c r="W66" s="235" t="n">
        <v>0</v>
      </c>
      <c r="X66" s="235" t="n">
        <v>0</v>
      </c>
      <c r="AA66" s="144" t="n">
        <v>0</v>
      </c>
    </row>
    <row r="67" customFormat="false" ht="13.8" hidden="false" customHeight="false" outlineLevel="0" collapsed="false">
      <c r="A67" s="238" t="s">
        <v>1326</v>
      </c>
      <c r="B67" s="238" t="s">
        <v>284</v>
      </c>
      <c r="C67" s="238" t="s">
        <v>238</v>
      </c>
      <c r="D67" s="238" t="s">
        <v>266</v>
      </c>
      <c r="E67" s="238" t="s">
        <v>268</v>
      </c>
      <c r="F67" s="238" t="s">
        <v>273</v>
      </c>
      <c r="G67" s="238" t="s">
        <v>284</v>
      </c>
      <c r="O67" s="239" t="n">
        <v>43755</v>
      </c>
      <c r="P67" s="239" t="n">
        <v>43814</v>
      </c>
      <c r="Q67" s="239" t="n">
        <v>43786</v>
      </c>
      <c r="R67" s="240" t="n">
        <v>43792</v>
      </c>
      <c r="S67" s="144" t="n">
        <v>47</v>
      </c>
      <c r="T67" s="144" t="n">
        <v>5</v>
      </c>
      <c r="U67" s="234" t="n">
        <v>0</v>
      </c>
      <c r="V67" s="144" t="n">
        <v>1</v>
      </c>
      <c r="W67" s="235" t="n">
        <v>0</v>
      </c>
      <c r="X67" s="235" t="n">
        <v>0</v>
      </c>
      <c r="AA67" s="144" t="n">
        <v>0</v>
      </c>
    </row>
    <row r="68" customFormat="false" ht="13.8" hidden="false" customHeight="false" outlineLevel="0" collapsed="false">
      <c r="A68" s="238" t="s">
        <v>1326</v>
      </c>
      <c r="B68" s="238" t="s">
        <v>284</v>
      </c>
      <c r="C68" s="238" t="s">
        <v>238</v>
      </c>
      <c r="D68" s="238" t="s">
        <v>266</v>
      </c>
      <c r="E68" s="238" t="s">
        <v>268</v>
      </c>
      <c r="F68" s="238" t="s">
        <v>273</v>
      </c>
      <c r="G68" s="238" t="s">
        <v>284</v>
      </c>
      <c r="O68" s="239" t="n">
        <v>43755</v>
      </c>
      <c r="P68" s="239" t="n">
        <v>43814</v>
      </c>
      <c r="Q68" s="239" t="n">
        <v>43793</v>
      </c>
      <c r="R68" s="240" t="n">
        <v>43799</v>
      </c>
      <c r="S68" s="144" t="n">
        <v>48</v>
      </c>
      <c r="T68" s="144" t="n">
        <v>5</v>
      </c>
      <c r="U68" s="234" t="n">
        <v>0</v>
      </c>
      <c r="V68" s="144" t="n">
        <v>1</v>
      </c>
      <c r="W68" s="235" t="n">
        <v>0</v>
      </c>
      <c r="X68" s="235" t="n">
        <v>0</v>
      </c>
      <c r="AA68" s="144" t="n">
        <v>0</v>
      </c>
    </row>
    <row r="69" customFormat="false" ht="13.8" hidden="false" customHeight="false" outlineLevel="0" collapsed="false">
      <c r="A69" s="238" t="s">
        <v>1326</v>
      </c>
      <c r="B69" s="238" t="s">
        <v>284</v>
      </c>
      <c r="C69" s="238" t="s">
        <v>238</v>
      </c>
      <c r="D69" s="238" t="s">
        <v>266</v>
      </c>
      <c r="E69" s="238" t="s">
        <v>268</v>
      </c>
      <c r="F69" s="238" t="s">
        <v>273</v>
      </c>
      <c r="G69" s="238" t="s">
        <v>284</v>
      </c>
      <c r="O69" s="239" t="n">
        <v>43755</v>
      </c>
      <c r="P69" s="239" t="n">
        <v>43814</v>
      </c>
      <c r="Q69" s="239" t="n">
        <v>43800</v>
      </c>
      <c r="R69" s="240" t="n">
        <v>43806</v>
      </c>
      <c r="S69" s="144" t="n">
        <v>49</v>
      </c>
      <c r="T69" s="144" t="n">
        <v>5</v>
      </c>
      <c r="U69" s="234" t="n">
        <v>0</v>
      </c>
      <c r="V69" s="144" t="n">
        <v>1</v>
      </c>
      <c r="W69" s="235" t="n">
        <v>0</v>
      </c>
      <c r="X69" s="235" t="n">
        <v>0</v>
      </c>
      <c r="AA69" s="144" t="n">
        <v>0</v>
      </c>
    </row>
    <row r="70" customFormat="false" ht="13.8" hidden="false" customHeight="false" outlineLevel="0" collapsed="false">
      <c r="A70" s="238" t="s">
        <v>1326</v>
      </c>
      <c r="B70" s="238" t="s">
        <v>284</v>
      </c>
      <c r="C70" s="238" t="s">
        <v>238</v>
      </c>
      <c r="D70" s="238" t="s">
        <v>266</v>
      </c>
      <c r="E70" s="238" t="s">
        <v>268</v>
      </c>
      <c r="F70" s="238" t="s">
        <v>273</v>
      </c>
      <c r="G70" s="238" t="s">
        <v>284</v>
      </c>
      <c r="O70" s="239" t="n">
        <v>43755</v>
      </c>
      <c r="P70" s="239" t="n">
        <v>43814</v>
      </c>
      <c r="Q70" s="239" t="n">
        <v>43807</v>
      </c>
      <c r="R70" s="240" t="n">
        <v>43813</v>
      </c>
      <c r="S70" s="144" t="n">
        <v>50</v>
      </c>
      <c r="T70" s="144" t="n">
        <v>5</v>
      </c>
      <c r="U70" s="234" t="n">
        <v>0</v>
      </c>
      <c r="V70" s="144" t="n">
        <v>1</v>
      </c>
      <c r="W70" s="235" t="n">
        <v>0</v>
      </c>
      <c r="X70" s="235" t="n">
        <v>0</v>
      </c>
      <c r="AA70" s="144" t="n">
        <v>0</v>
      </c>
    </row>
    <row r="71" customFormat="false" ht="13.8" hidden="false" customHeight="false" outlineLevel="0" collapsed="false">
      <c r="A71" s="238" t="s">
        <v>1326</v>
      </c>
      <c r="B71" s="238" t="s">
        <v>284</v>
      </c>
      <c r="C71" s="238" t="s">
        <v>238</v>
      </c>
      <c r="D71" s="238" t="s">
        <v>266</v>
      </c>
      <c r="E71" s="238" t="s">
        <v>268</v>
      </c>
      <c r="F71" s="238" t="s">
        <v>273</v>
      </c>
      <c r="G71" s="238" t="s">
        <v>284</v>
      </c>
      <c r="O71" s="239" t="n">
        <v>43755</v>
      </c>
      <c r="P71" s="239" t="n">
        <v>43814</v>
      </c>
      <c r="Q71" s="239" t="n">
        <v>43814</v>
      </c>
      <c r="R71" s="240" t="n">
        <v>43820</v>
      </c>
      <c r="S71" s="144" t="n">
        <v>51</v>
      </c>
      <c r="T71" s="144" t="n">
        <v>0</v>
      </c>
      <c r="U71" s="234" t="n">
        <v>0</v>
      </c>
      <c r="V71" s="144" t="n">
        <v>1</v>
      </c>
      <c r="W71" s="235" t="n">
        <v>0</v>
      </c>
      <c r="X71" s="235" t="n">
        <v>0</v>
      </c>
      <c r="AA71" s="144" t="n">
        <v>0</v>
      </c>
    </row>
    <row r="72" customFormat="false" ht="13.8" hidden="false" customHeight="false" outlineLevel="0" collapsed="false">
      <c r="A72" s="238" t="s">
        <v>1326</v>
      </c>
      <c r="B72" s="238" t="s">
        <v>286</v>
      </c>
      <c r="C72" s="238" t="s">
        <v>238</v>
      </c>
      <c r="D72" s="238" t="s">
        <v>266</v>
      </c>
      <c r="E72" s="238" t="s">
        <v>268</v>
      </c>
      <c r="F72" s="238" t="s">
        <v>273</v>
      </c>
      <c r="G72" s="238" t="s">
        <v>286</v>
      </c>
      <c r="O72" s="239" t="n">
        <v>43755</v>
      </c>
      <c r="P72" s="239" t="n">
        <v>43814</v>
      </c>
      <c r="Q72" s="239" t="n">
        <v>43751</v>
      </c>
      <c r="R72" s="240" t="n">
        <v>43757</v>
      </c>
      <c r="S72" s="144" t="n">
        <v>42</v>
      </c>
      <c r="T72" s="144" t="n">
        <v>2</v>
      </c>
      <c r="U72" s="234" t="n">
        <v>0</v>
      </c>
      <c r="V72" s="144" t="n">
        <v>1</v>
      </c>
      <c r="W72" s="235" t="n">
        <v>0</v>
      </c>
      <c r="X72" s="235" t="n">
        <v>0</v>
      </c>
      <c r="AA72" s="144" t="n">
        <v>0</v>
      </c>
    </row>
    <row r="73" customFormat="false" ht="13.8" hidden="false" customHeight="false" outlineLevel="0" collapsed="false">
      <c r="A73" s="238" t="s">
        <v>1326</v>
      </c>
      <c r="B73" s="238" t="s">
        <v>286</v>
      </c>
      <c r="C73" s="238" t="s">
        <v>238</v>
      </c>
      <c r="D73" s="238" t="s">
        <v>266</v>
      </c>
      <c r="E73" s="238" t="s">
        <v>268</v>
      </c>
      <c r="F73" s="238" t="s">
        <v>273</v>
      </c>
      <c r="G73" s="238" t="s">
        <v>286</v>
      </c>
      <c r="O73" s="239" t="n">
        <v>43755</v>
      </c>
      <c r="P73" s="239" t="n">
        <v>43814</v>
      </c>
      <c r="Q73" s="239" t="n">
        <v>43758</v>
      </c>
      <c r="R73" s="240" t="n">
        <v>43764</v>
      </c>
      <c r="S73" s="144" t="n">
        <v>43</v>
      </c>
      <c r="T73" s="144" t="n">
        <v>5</v>
      </c>
      <c r="U73" s="234" t="n">
        <v>0</v>
      </c>
      <c r="V73" s="144" t="n">
        <v>1</v>
      </c>
      <c r="W73" s="235" t="n">
        <v>0</v>
      </c>
      <c r="X73" s="235" t="n">
        <v>0</v>
      </c>
      <c r="AA73" s="144" t="n">
        <v>0</v>
      </c>
    </row>
    <row r="74" customFormat="false" ht="13.8" hidden="false" customHeight="false" outlineLevel="0" collapsed="false">
      <c r="A74" s="238" t="s">
        <v>1326</v>
      </c>
      <c r="B74" s="238" t="s">
        <v>286</v>
      </c>
      <c r="C74" s="238" t="s">
        <v>238</v>
      </c>
      <c r="D74" s="238" t="s">
        <v>266</v>
      </c>
      <c r="E74" s="238" t="s">
        <v>268</v>
      </c>
      <c r="F74" s="238" t="s">
        <v>273</v>
      </c>
      <c r="G74" s="238" t="s">
        <v>286</v>
      </c>
      <c r="O74" s="239" t="n">
        <v>43755</v>
      </c>
      <c r="P74" s="239" t="n">
        <v>43814</v>
      </c>
      <c r="Q74" s="239" t="n">
        <v>43765</v>
      </c>
      <c r="R74" s="240" t="n">
        <v>43771</v>
      </c>
      <c r="S74" s="144" t="n">
        <v>44</v>
      </c>
      <c r="T74" s="144" t="n">
        <v>5</v>
      </c>
      <c r="U74" s="234" t="n">
        <v>0</v>
      </c>
      <c r="V74" s="144" t="n">
        <v>1</v>
      </c>
      <c r="W74" s="235" t="n">
        <v>0</v>
      </c>
      <c r="X74" s="235" t="n">
        <v>0</v>
      </c>
      <c r="AA74" s="144" t="n">
        <v>0</v>
      </c>
    </row>
    <row r="75" customFormat="false" ht="13.8" hidden="false" customHeight="false" outlineLevel="0" collapsed="false">
      <c r="A75" s="238" t="s">
        <v>1326</v>
      </c>
      <c r="B75" s="238" t="s">
        <v>286</v>
      </c>
      <c r="C75" s="238" t="s">
        <v>238</v>
      </c>
      <c r="D75" s="238" t="s">
        <v>266</v>
      </c>
      <c r="E75" s="238" t="s">
        <v>268</v>
      </c>
      <c r="F75" s="238" t="s">
        <v>273</v>
      </c>
      <c r="G75" s="238" t="s">
        <v>286</v>
      </c>
      <c r="O75" s="239" t="n">
        <v>43755</v>
      </c>
      <c r="P75" s="239" t="n">
        <v>43814</v>
      </c>
      <c r="Q75" s="239" t="n">
        <v>43772</v>
      </c>
      <c r="R75" s="240" t="n">
        <v>43778</v>
      </c>
      <c r="S75" s="144" t="n">
        <v>45</v>
      </c>
      <c r="T75" s="144" t="n">
        <v>5</v>
      </c>
      <c r="U75" s="234" t="n">
        <v>0</v>
      </c>
      <c r="V75" s="144" t="n">
        <v>1</v>
      </c>
      <c r="W75" s="235" t="n">
        <v>0</v>
      </c>
      <c r="X75" s="235" t="n">
        <v>0</v>
      </c>
      <c r="AA75" s="144" t="n">
        <v>0</v>
      </c>
    </row>
    <row r="76" customFormat="false" ht="13.8" hidden="false" customHeight="false" outlineLevel="0" collapsed="false">
      <c r="A76" s="238" t="s">
        <v>1326</v>
      </c>
      <c r="B76" s="238" t="s">
        <v>286</v>
      </c>
      <c r="C76" s="238" t="s">
        <v>238</v>
      </c>
      <c r="D76" s="238" t="s">
        <v>266</v>
      </c>
      <c r="E76" s="238" t="s">
        <v>268</v>
      </c>
      <c r="F76" s="238" t="s">
        <v>273</v>
      </c>
      <c r="G76" s="238" t="s">
        <v>286</v>
      </c>
      <c r="O76" s="239" t="n">
        <v>43755</v>
      </c>
      <c r="P76" s="239" t="n">
        <v>43814</v>
      </c>
      <c r="Q76" s="239" t="n">
        <v>43779</v>
      </c>
      <c r="R76" s="240" t="n">
        <v>43785</v>
      </c>
      <c r="S76" s="144" t="n">
        <v>46</v>
      </c>
      <c r="T76" s="144" t="n">
        <v>5</v>
      </c>
      <c r="U76" s="234" t="n">
        <v>0</v>
      </c>
      <c r="V76" s="144" t="n">
        <v>1</v>
      </c>
      <c r="W76" s="235" t="n">
        <v>0</v>
      </c>
      <c r="X76" s="235" t="n">
        <v>0</v>
      </c>
      <c r="AA76" s="144" t="n">
        <v>0</v>
      </c>
    </row>
    <row r="77" customFormat="false" ht="13.8" hidden="false" customHeight="false" outlineLevel="0" collapsed="false">
      <c r="A77" s="238" t="s">
        <v>1326</v>
      </c>
      <c r="B77" s="238" t="s">
        <v>286</v>
      </c>
      <c r="C77" s="238" t="s">
        <v>238</v>
      </c>
      <c r="D77" s="238" t="s">
        <v>266</v>
      </c>
      <c r="E77" s="238" t="s">
        <v>268</v>
      </c>
      <c r="F77" s="238" t="s">
        <v>273</v>
      </c>
      <c r="G77" s="238" t="s">
        <v>286</v>
      </c>
      <c r="O77" s="239" t="n">
        <v>43755</v>
      </c>
      <c r="P77" s="239" t="n">
        <v>43814</v>
      </c>
      <c r="Q77" s="239" t="n">
        <v>43786</v>
      </c>
      <c r="R77" s="240" t="n">
        <v>43792</v>
      </c>
      <c r="S77" s="144" t="n">
        <v>47</v>
      </c>
      <c r="T77" s="144" t="n">
        <v>5</v>
      </c>
      <c r="U77" s="234" t="n">
        <v>0</v>
      </c>
      <c r="V77" s="144" t="n">
        <v>1</v>
      </c>
      <c r="W77" s="235" t="n">
        <v>0</v>
      </c>
      <c r="X77" s="235" t="n">
        <v>0</v>
      </c>
      <c r="AA77" s="144" t="n">
        <v>0</v>
      </c>
    </row>
    <row r="78" customFormat="false" ht="13.8" hidden="false" customHeight="false" outlineLevel="0" collapsed="false">
      <c r="A78" s="238" t="s">
        <v>1326</v>
      </c>
      <c r="B78" s="238" t="s">
        <v>286</v>
      </c>
      <c r="C78" s="238" t="s">
        <v>238</v>
      </c>
      <c r="D78" s="238" t="s">
        <v>266</v>
      </c>
      <c r="E78" s="238" t="s">
        <v>268</v>
      </c>
      <c r="F78" s="238" t="s">
        <v>273</v>
      </c>
      <c r="G78" s="238" t="s">
        <v>286</v>
      </c>
      <c r="O78" s="239" t="n">
        <v>43755</v>
      </c>
      <c r="P78" s="239" t="n">
        <v>43814</v>
      </c>
      <c r="Q78" s="239" t="n">
        <v>43793</v>
      </c>
      <c r="R78" s="240" t="n">
        <v>43799</v>
      </c>
      <c r="S78" s="144" t="n">
        <v>48</v>
      </c>
      <c r="T78" s="144" t="n">
        <v>5</v>
      </c>
      <c r="U78" s="234" t="n">
        <v>0</v>
      </c>
      <c r="V78" s="144" t="n">
        <v>1</v>
      </c>
      <c r="W78" s="235" t="n">
        <v>0</v>
      </c>
      <c r="X78" s="235" t="n">
        <v>0</v>
      </c>
      <c r="AA78" s="144" t="n">
        <v>0</v>
      </c>
    </row>
    <row r="79" customFormat="false" ht="13.8" hidden="false" customHeight="false" outlineLevel="0" collapsed="false">
      <c r="A79" s="238" t="s">
        <v>1326</v>
      </c>
      <c r="B79" s="238" t="s">
        <v>286</v>
      </c>
      <c r="C79" s="238" t="s">
        <v>238</v>
      </c>
      <c r="D79" s="238" t="s">
        <v>266</v>
      </c>
      <c r="E79" s="238" t="s">
        <v>268</v>
      </c>
      <c r="F79" s="238" t="s">
        <v>273</v>
      </c>
      <c r="G79" s="238" t="s">
        <v>286</v>
      </c>
      <c r="O79" s="239" t="n">
        <v>43755</v>
      </c>
      <c r="P79" s="239" t="n">
        <v>43814</v>
      </c>
      <c r="Q79" s="239" t="n">
        <v>43800</v>
      </c>
      <c r="R79" s="240" t="n">
        <v>43806</v>
      </c>
      <c r="S79" s="144" t="n">
        <v>49</v>
      </c>
      <c r="T79" s="144" t="n">
        <v>5</v>
      </c>
      <c r="U79" s="234" t="n">
        <v>0</v>
      </c>
      <c r="V79" s="144" t="n">
        <v>1</v>
      </c>
      <c r="W79" s="235" t="n">
        <v>0</v>
      </c>
      <c r="X79" s="235" t="n">
        <v>0</v>
      </c>
      <c r="AA79" s="144" t="n">
        <v>0</v>
      </c>
    </row>
    <row r="80" customFormat="false" ht="13.8" hidden="false" customHeight="false" outlineLevel="0" collapsed="false">
      <c r="A80" s="238" t="s">
        <v>1326</v>
      </c>
      <c r="B80" s="238" t="s">
        <v>286</v>
      </c>
      <c r="C80" s="238" t="s">
        <v>238</v>
      </c>
      <c r="D80" s="238" t="s">
        <v>266</v>
      </c>
      <c r="E80" s="238" t="s">
        <v>268</v>
      </c>
      <c r="F80" s="238" t="s">
        <v>273</v>
      </c>
      <c r="G80" s="238" t="s">
        <v>286</v>
      </c>
      <c r="O80" s="239" t="n">
        <v>43755</v>
      </c>
      <c r="P80" s="239" t="n">
        <v>43814</v>
      </c>
      <c r="Q80" s="239" t="n">
        <v>43807</v>
      </c>
      <c r="R80" s="240" t="n">
        <v>43813</v>
      </c>
      <c r="S80" s="144" t="n">
        <v>50</v>
      </c>
      <c r="T80" s="144" t="n">
        <v>5</v>
      </c>
      <c r="U80" s="234" t="n">
        <v>0</v>
      </c>
      <c r="V80" s="144" t="n">
        <v>1</v>
      </c>
      <c r="W80" s="235" t="n">
        <v>0</v>
      </c>
      <c r="X80" s="235" t="n">
        <v>0</v>
      </c>
      <c r="AA80" s="144" t="n">
        <v>0</v>
      </c>
    </row>
    <row r="81" customFormat="false" ht="13.8" hidden="false" customHeight="false" outlineLevel="0" collapsed="false">
      <c r="A81" s="238" t="s">
        <v>1326</v>
      </c>
      <c r="B81" s="238" t="s">
        <v>286</v>
      </c>
      <c r="C81" s="238" t="s">
        <v>238</v>
      </c>
      <c r="D81" s="238" t="s">
        <v>266</v>
      </c>
      <c r="E81" s="238" t="s">
        <v>268</v>
      </c>
      <c r="F81" s="238" t="s">
        <v>273</v>
      </c>
      <c r="G81" s="238" t="s">
        <v>286</v>
      </c>
      <c r="O81" s="239" t="n">
        <v>43755</v>
      </c>
      <c r="P81" s="239" t="n">
        <v>43814</v>
      </c>
      <c r="Q81" s="239" t="n">
        <v>43814</v>
      </c>
      <c r="R81" s="240" t="n">
        <v>43820</v>
      </c>
      <c r="S81" s="144" t="n">
        <v>51</v>
      </c>
      <c r="T81" s="144" t="n">
        <v>0</v>
      </c>
      <c r="U81" s="234" t="n">
        <v>0</v>
      </c>
      <c r="V81" s="144" t="n">
        <v>1</v>
      </c>
      <c r="W81" s="235" t="n">
        <v>0</v>
      </c>
      <c r="X81" s="235" t="n">
        <v>0</v>
      </c>
      <c r="AA81" s="144" t="n">
        <v>0</v>
      </c>
    </row>
    <row r="82" customFormat="false" ht="13.8" hidden="false" customHeight="false" outlineLevel="0" collapsed="false">
      <c r="A82" s="238" t="s">
        <v>1326</v>
      </c>
      <c r="B82" s="238" t="s">
        <v>288</v>
      </c>
      <c r="C82" s="238" t="s">
        <v>238</v>
      </c>
      <c r="D82" s="238" t="s">
        <v>266</v>
      </c>
      <c r="E82" s="238" t="s">
        <v>268</v>
      </c>
      <c r="F82" s="238" t="s">
        <v>273</v>
      </c>
      <c r="G82" s="238" t="s">
        <v>288</v>
      </c>
      <c r="O82" s="239" t="n">
        <v>43769</v>
      </c>
      <c r="P82" s="239" t="n">
        <v>43814</v>
      </c>
      <c r="Q82" s="239" t="n">
        <v>43765</v>
      </c>
      <c r="R82" s="240" t="n">
        <v>43771</v>
      </c>
      <c r="S82" s="144" t="n">
        <v>44</v>
      </c>
      <c r="T82" s="144" t="n">
        <v>2</v>
      </c>
      <c r="U82" s="234" t="n">
        <v>0</v>
      </c>
      <c r="V82" s="144" t="n">
        <v>1</v>
      </c>
      <c r="W82" s="235" t="n">
        <v>0</v>
      </c>
      <c r="X82" s="235" t="n">
        <v>0</v>
      </c>
      <c r="AA82" s="144" t="n">
        <v>0</v>
      </c>
    </row>
    <row r="83" customFormat="false" ht="13.8" hidden="false" customHeight="false" outlineLevel="0" collapsed="false">
      <c r="A83" s="238" t="s">
        <v>1326</v>
      </c>
      <c r="B83" s="238" t="s">
        <v>288</v>
      </c>
      <c r="C83" s="238" t="s">
        <v>238</v>
      </c>
      <c r="D83" s="238" t="s">
        <v>266</v>
      </c>
      <c r="E83" s="238" t="s">
        <v>268</v>
      </c>
      <c r="F83" s="238" t="s">
        <v>273</v>
      </c>
      <c r="G83" s="238" t="s">
        <v>288</v>
      </c>
      <c r="O83" s="239" t="n">
        <v>43769</v>
      </c>
      <c r="P83" s="239" t="n">
        <v>43814</v>
      </c>
      <c r="Q83" s="239" t="n">
        <v>43772</v>
      </c>
      <c r="R83" s="240" t="n">
        <v>43778</v>
      </c>
      <c r="S83" s="144" t="n">
        <v>45</v>
      </c>
      <c r="T83" s="144" t="n">
        <v>5</v>
      </c>
      <c r="U83" s="234" t="n">
        <v>0</v>
      </c>
      <c r="V83" s="144" t="n">
        <v>1</v>
      </c>
      <c r="W83" s="235" t="n">
        <v>0</v>
      </c>
      <c r="X83" s="235" t="n">
        <v>0</v>
      </c>
      <c r="AA83" s="144" t="n">
        <v>0</v>
      </c>
    </row>
    <row r="84" customFormat="false" ht="13.8" hidden="false" customHeight="false" outlineLevel="0" collapsed="false">
      <c r="A84" s="238" t="s">
        <v>1326</v>
      </c>
      <c r="B84" s="238" t="s">
        <v>288</v>
      </c>
      <c r="C84" s="238" t="s">
        <v>238</v>
      </c>
      <c r="D84" s="238" t="s">
        <v>266</v>
      </c>
      <c r="E84" s="238" t="s">
        <v>268</v>
      </c>
      <c r="F84" s="238" t="s">
        <v>273</v>
      </c>
      <c r="G84" s="238" t="s">
        <v>288</v>
      </c>
      <c r="O84" s="239" t="n">
        <v>43769</v>
      </c>
      <c r="P84" s="239" t="n">
        <v>43814</v>
      </c>
      <c r="Q84" s="239" t="n">
        <v>43779</v>
      </c>
      <c r="R84" s="240" t="n">
        <v>43785</v>
      </c>
      <c r="S84" s="144" t="n">
        <v>46</v>
      </c>
      <c r="T84" s="144" t="n">
        <v>5</v>
      </c>
      <c r="U84" s="234" t="n">
        <v>0</v>
      </c>
      <c r="V84" s="144" t="n">
        <v>1</v>
      </c>
      <c r="W84" s="235" t="n">
        <v>0</v>
      </c>
      <c r="X84" s="235" t="n">
        <v>0</v>
      </c>
      <c r="AA84" s="144" t="n">
        <v>0</v>
      </c>
    </row>
    <row r="85" customFormat="false" ht="13.8" hidden="false" customHeight="false" outlineLevel="0" collapsed="false">
      <c r="A85" s="238" t="s">
        <v>1326</v>
      </c>
      <c r="B85" s="238" t="s">
        <v>288</v>
      </c>
      <c r="C85" s="238" t="s">
        <v>238</v>
      </c>
      <c r="D85" s="238" t="s">
        <v>266</v>
      </c>
      <c r="E85" s="238" t="s">
        <v>268</v>
      </c>
      <c r="F85" s="238" t="s">
        <v>273</v>
      </c>
      <c r="G85" s="238" t="s">
        <v>288</v>
      </c>
      <c r="O85" s="239" t="n">
        <v>43769</v>
      </c>
      <c r="P85" s="239" t="n">
        <v>43814</v>
      </c>
      <c r="Q85" s="239" t="n">
        <v>43786</v>
      </c>
      <c r="R85" s="240" t="n">
        <v>43792</v>
      </c>
      <c r="S85" s="144" t="n">
        <v>47</v>
      </c>
      <c r="T85" s="144" t="n">
        <v>5</v>
      </c>
      <c r="U85" s="234" t="n">
        <v>0</v>
      </c>
      <c r="V85" s="144" t="n">
        <v>1</v>
      </c>
      <c r="W85" s="235" t="n">
        <v>0</v>
      </c>
      <c r="X85" s="235" t="n">
        <v>0</v>
      </c>
      <c r="AA85" s="144" t="n">
        <v>0</v>
      </c>
    </row>
    <row r="86" customFormat="false" ht="13.8" hidden="false" customHeight="false" outlineLevel="0" collapsed="false">
      <c r="A86" s="238" t="s">
        <v>1326</v>
      </c>
      <c r="B86" s="238" t="s">
        <v>288</v>
      </c>
      <c r="C86" s="238" t="s">
        <v>238</v>
      </c>
      <c r="D86" s="238" t="s">
        <v>266</v>
      </c>
      <c r="E86" s="238" t="s">
        <v>268</v>
      </c>
      <c r="F86" s="238" t="s">
        <v>273</v>
      </c>
      <c r="G86" s="238" t="s">
        <v>288</v>
      </c>
      <c r="O86" s="239" t="n">
        <v>43769</v>
      </c>
      <c r="P86" s="239" t="n">
        <v>43814</v>
      </c>
      <c r="Q86" s="239" t="n">
        <v>43793</v>
      </c>
      <c r="R86" s="240" t="n">
        <v>43799</v>
      </c>
      <c r="S86" s="144" t="n">
        <v>48</v>
      </c>
      <c r="T86" s="144" t="n">
        <v>5</v>
      </c>
      <c r="U86" s="234" t="n">
        <v>0</v>
      </c>
      <c r="V86" s="144" t="n">
        <v>1</v>
      </c>
      <c r="W86" s="235" t="n">
        <v>0</v>
      </c>
      <c r="X86" s="235" t="n">
        <v>0</v>
      </c>
      <c r="AA86" s="144" t="n">
        <v>0</v>
      </c>
    </row>
    <row r="87" customFormat="false" ht="13.8" hidden="false" customHeight="false" outlineLevel="0" collapsed="false">
      <c r="A87" s="238" t="s">
        <v>1326</v>
      </c>
      <c r="B87" s="238" t="s">
        <v>288</v>
      </c>
      <c r="C87" s="238" t="s">
        <v>238</v>
      </c>
      <c r="D87" s="238" t="s">
        <v>266</v>
      </c>
      <c r="E87" s="238" t="s">
        <v>268</v>
      </c>
      <c r="F87" s="238" t="s">
        <v>273</v>
      </c>
      <c r="G87" s="238" t="s">
        <v>288</v>
      </c>
      <c r="O87" s="239" t="n">
        <v>43769</v>
      </c>
      <c r="P87" s="239" t="n">
        <v>43814</v>
      </c>
      <c r="Q87" s="239" t="n">
        <v>43800</v>
      </c>
      <c r="R87" s="240" t="n">
        <v>43806</v>
      </c>
      <c r="S87" s="144" t="n">
        <v>49</v>
      </c>
      <c r="T87" s="144" t="n">
        <v>5</v>
      </c>
      <c r="U87" s="234" t="n">
        <v>0</v>
      </c>
      <c r="V87" s="144" t="n">
        <v>1</v>
      </c>
      <c r="W87" s="235" t="n">
        <v>0</v>
      </c>
      <c r="X87" s="235" t="n">
        <v>0</v>
      </c>
      <c r="AA87" s="144" t="n">
        <v>0</v>
      </c>
    </row>
    <row r="88" customFormat="false" ht="13.8" hidden="false" customHeight="false" outlineLevel="0" collapsed="false">
      <c r="A88" s="238" t="s">
        <v>1326</v>
      </c>
      <c r="B88" s="238" t="s">
        <v>288</v>
      </c>
      <c r="C88" s="238" t="s">
        <v>238</v>
      </c>
      <c r="D88" s="238" t="s">
        <v>266</v>
      </c>
      <c r="E88" s="238" t="s">
        <v>268</v>
      </c>
      <c r="F88" s="238" t="s">
        <v>273</v>
      </c>
      <c r="G88" s="238" t="s">
        <v>288</v>
      </c>
      <c r="O88" s="239" t="n">
        <v>43769</v>
      </c>
      <c r="P88" s="239" t="n">
        <v>43814</v>
      </c>
      <c r="Q88" s="239" t="n">
        <v>43807</v>
      </c>
      <c r="R88" s="240" t="n">
        <v>43813</v>
      </c>
      <c r="S88" s="144" t="n">
        <v>50</v>
      </c>
      <c r="T88" s="144" t="n">
        <v>5</v>
      </c>
      <c r="U88" s="234" t="n">
        <v>0</v>
      </c>
      <c r="V88" s="144" t="n">
        <v>1</v>
      </c>
      <c r="W88" s="235" t="n">
        <v>0</v>
      </c>
      <c r="X88" s="235" t="n">
        <v>0</v>
      </c>
      <c r="AA88" s="144" t="n">
        <v>0</v>
      </c>
    </row>
    <row r="89" customFormat="false" ht="13.8" hidden="false" customHeight="false" outlineLevel="0" collapsed="false">
      <c r="A89" s="238" t="s">
        <v>1326</v>
      </c>
      <c r="B89" s="238" t="s">
        <v>288</v>
      </c>
      <c r="C89" s="238" t="s">
        <v>238</v>
      </c>
      <c r="D89" s="238" t="s">
        <v>266</v>
      </c>
      <c r="E89" s="238" t="s">
        <v>268</v>
      </c>
      <c r="F89" s="238" t="s">
        <v>273</v>
      </c>
      <c r="G89" s="238" t="s">
        <v>288</v>
      </c>
      <c r="O89" s="239" t="n">
        <v>43769</v>
      </c>
      <c r="P89" s="239" t="n">
        <v>43814</v>
      </c>
      <c r="Q89" s="239" t="n">
        <v>43814</v>
      </c>
      <c r="R89" s="240" t="n">
        <v>43820</v>
      </c>
      <c r="S89" s="144" t="n">
        <v>51</v>
      </c>
      <c r="T89" s="144" t="n">
        <v>0</v>
      </c>
      <c r="U89" s="234" t="n">
        <v>0</v>
      </c>
      <c r="V89" s="144" t="n">
        <v>1</v>
      </c>
      <c r="W89" s="235" t="n">
        <v>0</v>
      </c>
      <c r="X89" s="235" t="n">
        <v>0</v>
      </c>
      <c r="AA89" s="144" t="n">
        <v>0</v>
      </c>
    </row>
    <row r="90" customFormat="false" ht="13.8" hidden="false" customHeight="false" outlineLevel="0" collapsed="false">
      <c r="A90" s="238" t="s">
        <v>1324</v>
      </c>
      <c r="B90" s="238" t="s">
        <v>292</v>
      </c>
      <c r="C90" s="238" t="s">
        <v>238</v>
      </c>
      <c r="D90" s="238" t="s">
        <v>266</v>
      </c>
      <c r="E90" s="238" t="s">
        <v>290</v>
      </c>
      <c r="F90" s="238" t="s">
        <v>292</v>
      </c>
      <c r="O90" s="239" t="n">
        <v>43797</v>
      </c>
      <c r="P90" s="239" t="n">
        <v>43815</v>
      </c>
      <c r="Q90" s="239" t="n">
        <v>43793</v>
      </c>
      <c r="R90" s="240" t="n">
        <v>43799</v>
      </c>
      <c r="S90" s="144" t="n">
        <v>48</v>
      </c>
      <c r="T90" s="144" t="n">
        <v>2</v>
      </c>
      <c r="U90" s="234" t="n">
        <v>0</v>
      </c>
      <c r="V90" s="144" t="n">
        <v>1</v>
      </c>
      <c r="W90" s="235" t="n">
        <v>0</v>
      </c>
      <c r="X90" s="235" t="n">
        <v>0</v>
      </c>
      <c r="AA90" s="144" t="n">
        <v>0</v>
      </c>
    </row>
    <row r="91" customFormat="false" ht="13.8" hidden="false" customHeight="false" outlineLevel="0" collapsed="false">
      <c r="A91" s="238" t="s">
        <v>1324</v>
      </c>
      <c r="B91" s="238" t="s">
        <v>292</v>
      </c>
      <c r="C91" s="238" t="s">
        <v>238</v>
      </c>
      <c r="D91" s="238" t="s">
        <v>266</v>
      </c>
      <c r="E91" s="238" t="s">
        <v>290</v>
      </c>
      <c r="F91" s="238" t="s">
        <v>292</v>
      </c>
      <c r="O91" s="239" t="n">
        <v>43797</v>
      </c>
      <c r="P91" s="239" t="n">
        <v>43815</v>
      </c>
      <c r="Q91" s="239" t="n">
        <v>43800</v>
      </c>
      <c r="R91" s="240" t="n">
        <v>43806</v>
      </c>
      <c r="S91" s="144" t="n">
        <v>49</v>
      </c>
      <c r="T91" s="144" t="n">
        <v>5</v>
      </c>
      <c r="U91" s="234" t="n">
        <v>0</v>
      </c>
      <c r="V91" s="144" t="n">
        <v>1</v>
      </c>
      <c r="W91" s="235" t="n">
        <v>0</v>
      </c>
      <c r="X91" s="235" t="n">
        <v>0</v>
      </c>
      <c r="AA91" s="144" t="n">
        <v>0</v>
      </c>
    </row>
    <row r="92" customFormat="false" ht="13.8" hidden="false" customHeight="false" outlineLevel="0" collapsed="false">
      <c r="A92" s="238" t="s">
        <v>1324</v>
      </c>
      <c r="B92" s="238" t="s">
        <v>292</v>
      </c>
      <c r="C92" s="238" t="s">
        <v>238</v>
      </c>
      <c r="D92" s="238" t="s">
        <v>266</v>
      </c>
      <c r="E92" s="238" t="s">
        <v>290</v>
      </c>
      <c r="F92" s="238" t="s">
        <v>292</v>
      </c>
      <c r="O92" s="239" t="n">
        <v>43797</v>
      </c>
      <c r="P92" s="239" t="n">
        <v>43815</v>
      </c>
      <c r="Q92" s="239" t="n">
        <v>43807</v>
      </c>
      <c r="R92" s="240" t="n">
        <v>43813</v>
      </c>
      <c r="S92" s="144" t="n">
        <v>50</v>
      </c>
      <c r="T92" s="144" t="n">
        <v>5</v>
      </c>
      <c r="U92" s="234" t="n">
        <v>0</v>
      </c>
      <c r="V92" s="144" t="n">
        <v>1</v>
      </c>
      <c r="W92" s="235" t="n">
        <v>0</v>
      </c>
      <c r="X92" s="235" t="n">
        <v>0</v>
      </c>
      <c r="AA92" s="144" t="n">
        <v>0</v>
      </c>
    </row>
    <row r="93" customFormat="false" ht="13.8" hidden="false" customHeight="false" outlineLevel="0" collapsed="false">
      <c r="A93" s="238" t="s">
        <v>1324</v>
      </c>
      <c r="B93" s="238" t="s">
        <v>292</v>
      </c>
      <c r="C93" s="238" t="s">
        <v>238</v>
      </c>
      <c r="D93" s="238" t="s">
        <v>266</v>
      </c>
      <c r="E93" s="238" t="s">
        <v>290</v>
      </c>
      <c r="F93" s="238" t="s">
        <v>292</v>
      </c>
      <c r="O93" s="239" t="n">
        <v>43797</v>
      </c>
      <c r="P93" s="239" t="n">
        <v>43815</v>
      </c>
      <c r="Q93" s="239" t="n">
        <v>43814</v>
      </c>
      <c r="R93" s="240" t="n">
        <v>43820</v>
      </c>
      <c r="S93" s="144" t="n">
        <v>51</v>
      </c>
      <c r="T93" s="144" t="n">
        <v>1</v>
      </c>
      <c r="U93" s="234" t="n">
        <v>0</v>
      </c>
      <c r="V93" s="144" t="n">
        <v>1</v>
      </c>
      <c r="W93" s="235" t="n">
        <v>0</v>
      </c>
      <c r="X93" s="235" t="n">
        <v>0</v>
      </c>
      <c r="AA93" s="144" t="n">
        <v>0</v>
      </c>
    </row>
    <row r="94" customFormat="false" ht="13.8" hidden="false" customHeight="false" outlineLevel="0" collapsed="false">
      <c r="A94" s="238" t="s">
        <v>1324</v>
      </c>
      <c r="B94" s="238" t="s">
        <v>294</v>
      </c>
      <c r="C94" s="238" t="s">
        <v>238</v>
      </c>
      <c r="D94" s="238" t="s">
        <v>266</v>
      </c>
      <c r="E94" s="238" t="s">
        <v>290</v>
      </c>
      <c r="F94" s="238" t="s">
        <v>294</v>
      </c>
      <c r="O94" s="239" t="n">
        <v>43818</v>
      </c>
      <c r="P94" s="239" t="n">
        <v>43822</v>
      </c>
      <c r="Q94" s="239" t="n">
        <v>43814</v>
      </c>
      <c r="R94" s="240" t="n">
        <v>43820</v>
      </c>
      <c r="S94" s="144" t="n">
        <v>51</v>
      </c>
      <c r="T94" s="144" t="n">
        <v>2</v>
      </c>
      <c r="U94" s="234" t="n">
        <v>0</v>
      </c>
      <c r="V94" s="144" t="n">
        <v>1</v>
      </c>
      <c r="W94" s="235" t="n">
        <v>0</v>
      </c>
      <c r="X94" s="235" t="n">
        <v>0</v>
      </c>
      <c r="AA94" s="144" t="n">
        <v>0</v>
      </c>
    </row>
    <row r="95" customFormat="false" ht="13.8" hidden="false" customHeight="false" outlineLevel="0" collapsed="false">
      <c r="A95" s="238" t="s">
        <v>1324</v>
      </c>
      <c r="B95" s="238" t="s">
        <v>294</v>
      </c>
      <c r="C95" s="238" t="s">
        <v>238</v>
      </c>
      <c r="D95" s="238" t="s">
        <v>266</v>
      </c>
      <c r="E95" s="238" t="s">
        <v>290</v>
      </c>
      <c r="F95" s="238" t="s">
        <v>294</v>
      </c>
      <c r="O95" s="239" t="n">
        <v>43818</v>
      </c>
      <c r="P95" s="239" t="n">
        <v>43822</v>
      </c>
      <c r="Q95" s="239" t="n">
        <v>43821</v>
      </c>
      <c r="R95" s="240" t="n">
        <v>43827</v>
      </c>
      <c r="S95" s="144" t="n">
        <v>52</v>
      </c>
      <c r="T95" s="144" t="n">
        <v>1</v>
      </c>
      <c r="U95" s="234" t="n">
        <v>0</v>
      </c>
      <c r="V95" s="144" t="n">
        <v>1</v>
      </c>
      <c r="W95" s="235" t="n">
        <v>0</v>
      </c>
      <c r="X95" s="235" t="n">
        <v>0</v>
      </c>
      <c r="AA95" s="144" t="n">
        <v>0</v>
      </c>
    </row>
    <row r="96" customFormat="false" ht="13.8" hidden="false" customHeight="false" outlineLevel="0" collapsed="false">
      <c r="A96" s="238" t="s">
        <v>1324</v>
      </c>
      <c r="B96" s="238" t="s">
        <v>300</v>
      </c>
      <c r="C96" s="238" t="s">
        <v>238</v>
      </c>
      <c r="D96" s="238" t="s">
        <v>296</v>
      </c>
      <c r="E96" s="238" t="s">
        <v>298</v>
      </c>
      <c r="F96" s="238" t="s">
        <v>300</v>
      </c>
      <c r="O96" s="239" t="n">
        <v>43818</v>
      </c>
      <c r="P96" s="239" t="n">
        <v>43820</v>
      </c>
      <c r="Q96" s="239" t="n">
        <v>43814</v>
      </c>
      <c r="R96" s="240" t="n">
        <v>43820</v>
      </c>
      <c r="S96" s="144" t="n">
        <v>51</v>
      </c>
      <c r="T96" s="144" t="n">
        <v>2</v>
      </c>
      <c r="U96" s="234" t="n">
        <v>0</v>
      </c>
      <c r="V96" s="144" t="n">
        <v>1</v>
      </c>
      <c r="W96" s="235" t="n">
        <v>0</v>
      </c>
      <c r="X96" s="235" t="n">
        <v>0</v>
      </c>
      <c r="AA96" s="144" t="n">
        <v>0</v>
      </c>
    </row>
    <row r="97" customFormat="false" ht="13.8" hidden="false" customHeight="false" outlineLevel="0" collapsed="false">
      <c r="A97" s="238" t="s">
        <v>1324</v>
      </c>
      <c r="B97" s="238" t="s">
        <v>304</v>
      </c>
      <c r="C97" s="238" t="s">
        <v>238</v>
      </c>
      <c r="D97" s="238" t="s">
        <v>296</v>
      </c>
      <c r="E97" s="238" t="s">
        <v>302</v>
      </c>
      <c r="F97" s="238" t="s">
        <v>304</v>
      </c>
      <c r="O97" s="239" t="n">
        <v>43822</v>
      </c>
      <c r="P97" s="239" t="n">
        <v>43824</v>
      </c>
      <c r="Q97" s="239" t="n">
        <v>43821</v>
      </c>
      <c r="R97" s="240" t="n">
        <v>43827</v>
      </c>
      <c r="S97" s="144" t="n">
        <v>52</v>
      </c>
      <c r="T97" s="144" t="n">
        <v>2</v>
      </c>
      <c r="U97" s="234" t="n">
        <v>0</v>
      </c>
      <c r="V97" s="144" t="n">
        <v>1</v>
      </c>
      <c r="W97" s="235" t="n">
        <v>0</v>
      </c>
      <c r="X97" s="235" t="n">
        <v>0</v>
      </c>
      <c r="AA97" s="144" t="n">
        <v>0</v>
      </c>
    </row>
    <row r="98" customFormat="false" ht="13.8" hidden="false" customHeight="false" outlineLevel="0" collapsed="false">
      <c r="A98" s="238" t="s">
        <v>1324</v>
      </c>
      <c r="B98" s="238" t="s">
        <v>306</v>
      </c>
      <c r="C98" s="238" t="s">
        <v>238</v>
      </c>
      <c r="D98" s="238" t="s">
        <v>296</v>
      </c>
      <c r="E98" s="238" t="s">
        <v>302</v>
      </c>
      <c r="F98" s="238" t="s">
        <v>306</v>
      </c>
      <c r="O98" s="239" t="n">
        <v>43822</v>
      </c>
      <c r="P98" s="239" t="n">
        <v>43824</v>
      </c>
      <c r="Q98" s="239" t="n">
        <v>43821</v>
      </c>
      <c r="R98" s="240" t="n">
        <v>43827</v>
      </c>
      <c r="S98" s="144" t="n">
        <v>52</v>
      </c>
      <c r="T98" s="144" t="n">
        <v>2</v>
      </c>
      <c r="U98" s="234" t="n">
        <v>0</v>
      </c>
      <c r="V98" s="144" t="n">
        <v>1</v>
      </c>
      <c r="W98" s="235" t="n">
        <v>0</v>
      </c>
      <c r="X98" s="235" t="n">
        <v>0</v>
      </c>
      <c r="AA98" s="144" t="n">
        <v>0</v>
      </c>
    </row>
    <row r="99" customFormat="false" ht="13.8" hidden="false" customHeight="false" outlineLevel="0" collapsed="false">
      <c r="A99" s="238" t="s">
        <v>1324</v>
      </c>
      <c r="B99" s="238" t="s">
        <v>308</v>
      </c>
      <c r="C99" s="238" t="s">
        <v>238</v>
      </c>
      <c r="D99" s="238" t="s">
        <v>296</v>
      </c>
      <c r="E99" s="238" t="s">
        <v>302</v>
      </c>
      <c r="F99" s="238" t="s">
        <v>308</v>
      </c>
      <c r="O99" s="239" t="n">
        <v>43822</v>
      </c>
      <c r="P99" s="239" t="n">
        <v>43824</v>
      </c>
      <c r="Q99" s="239" t="n">
        <v>43821</v>
      </c>
      <c r="R99" s="240" t="n">
        <v>43827</v>
      </c>
      <c r="S99" s="144" t="n">
        <v>52</v>
      </c>
      <c r="T99" s="144" t="n">
        <v>2</v>
      </c>
      <c r="U99" s="234" t="n">
        <v>0</v>
      </c>
      <c r="V99" s="144" t="n">
        <v>1</v>
      </c>
      <c r="W99" s="235" t="n">
        <v>0</v>
      </c>
      <c r="X99" s="235" t="n">
        <v>0</v>
      </c>
      <c r="AA99" s="144" t="n">
        <v>0</v>
      </c>
    </row>
    <row r="100" customFormat="false" ht="13.8" hidden="false" customHeight="false" outlineLevel="0" collapsed="false">
      <c r="A100" s="238" t="s">
        <v>1324</v>
      </c>
      <c r="B100" s="238" t="s">
        <v>310</v>
      </c>
      <c r="C100" s="238" t="s">
        <v>238</v>
      </c>
      <c r="D100" s="238" t="s">
        <v>296</v>
      </c>
      <c r="E100" s="238" t="s">
        <v>302</v>
      </c>
      <c r="F100" s="238" t="s">
        <v>310</v>
      </c>
      <c r="O100" s="239" t="n">
        <v>43825</v>
      </c>
      <c r="P100" s="239" t="n">
        <v>43825</v>
      </c>
      <c r="Q100" s="239" t="n">
        <v>43821</v>
      </c>
      <c r="R100" s="240" t="n">
        <v>43827</v>
      </c>
      <c r="S100" s="144" t="n">
        <v>52</v>
      </c>
      <c r="T100" s="144" t="n">
        <v>1</v>
      </c>
      <c r="U100" s="234" t="n">
        <v>0</v>
      </c>
      <c r="V100" s="144" t="n">
        <v>1</v>
      </c>
      <c r="W100" s="235" t="n">
        <v>0</v>
      </c>
      <c r="X100" s="235" t="n">
        <v>0</v>
      </c>
      <c r="AA100" s="144" t="n">
        <v>0</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sheetPr filterMode="false">
    <pageSetUpPr fitToPage="false"/>
  </sheetPr>
  <dimension ref="A1:Y17"/>
  <sheetViews>
    <sheetView showFormulas="false" showGridLines="true" showRowColHeaders="true" showZeros="true" rightToLeft="false" tabSelected="false" showOutlineSymbols="true" defaultGridColor="true" view="normal" topLeftCell="J1" colorId="64" zoomScale="85" zoomScaleNormal="85" zoomScalePageLayoutView="100" workbookViewId="0">
      <selection pane="topLeft" activeCell="V2" activeCellId="0" sqref="V2"/>
    </sheetView>
  </sheetViews>
  <sheetFormatPr defaultRowHeight="16.5" zeroHeight="false" outlineLevelRow="0" outlineLevelCol="0"/>
  <cols>
    <col collapsed="false" customWidth="true" hidden="false" outlineLevel="0" max="1" min="1" style="0" width="16"/>
    <col collapsed="false" customWidth="true" hidden="false" outlineLevel="0" max="2" min="2" style="0" width="19"/>
    <col collapsed="false" customWidth="true" hidden="false" outlineLevel="0" max="3" min="3" style="0" width="23"/>
    <col collapsed="false" customWidth="true" hidden="false" outlineLevel="0" max="4" min="4" style="0" width="14.25"/>
    <col collapsed="false" customWidth="true" hidden="false" outlineLevel="0" max="5" min="5" style="0" width="9.38"/>
    <col collapsed="false" customWidth="true" hidden="false" outlineLevel="0" max="6" min="6" style="0" width="5.75"/>
    <col collapsed="false" customWidth="true" hidden="false" outlineLevel="0" max="7" min="7" style="0" width="17.87"/>
    <col collapsed="false" customWidth="true" hidden="false" outlineLevel="0" max="8" min="8" style="0" width="5.25"/>
    <col collapsed="false" customWidth="true" hidden="false" outlineLevel="0" max="10" min="9" style="241" width="11.63"/>
    <col collapsed="false" customWidth="true" hidden="false" outlineLevel="0" max="11" min="11" style="241" width="24.88"/>
    <col collapsed="false" customWidth="true" hidden="false" outlineLevel="0" max="12" min="12" style="0" width="9.14"/>
    <col collapsed="false" customWidth="true" hidden="false" outlineLevel="0" max="13" min="13" style="0" width="8.51"/>
    <col collapsed="false" customWidth="true" hidden="false" outlineLevel="0" max="14" min="14" style="0" width="11"/>
    <col collapsed="false" customWidth="true" hidden="false" outlineLevel="0" max="15" min="15" style="0" width="7.13"/>
    <col collapsed="false" customWidth="true" hidden="false" outlineLevel="0" max="16" min="16" style="0" width="8.51"/>
    <col collapsed="false" customWidth="true" hidden="false" outlineLevel="0" max="18" min="17" style="0" width="11"/>
    <col collapsed="false" customWidth="true" hidden="false" outlineLevel="0" max="19" min="19" style="0" width="13"/>
    <col collapsed="false" customWidth="true" hidden="false" outlineLevel="0" max="20" min="20" style="0" width="11"/>
    <col collapsed="false" customWidth="true" hidden="false" outlineLevel="0" max="21" min="21" style="0" width="7.13"/>
    <col collapsed="false" customWidth="true" hidden="false" outlineLevel="0" max="22" min="22" style="0" width="13.5"/>
    <col collapsed="false" customWidth="true" hidden="false" outlineLevel="0" max="23" min="23" style="0" width="7.13"/>
    <col collapsed="false" customWidth="true" hidden="false" outlineLevel="0" max="25" min="24" style="0" width="11"/>
    <col collapsed="false" customWidth="true" hidden="false" outlineLevel="0" max="1025" min="26" style="0" width="8.51"/>
  </cols>
  <sheetData>
    <row r="1" customFormat="false" ht="16.5" hidden="false" customHeight="false" outlineLevel="0" collapsed="false">
      <c r="A1" s="242" t="s">
        <v>1327</v>
      </c>
      <c r="B1" s="242" t="s">
        <v>1328</v>
      </c>
      <c r="C1" s="242" t="s">
        <v>1329</v>
      </c>
      <c r="D1" s="242" t="s">
        <v>1330</v>
      </c>
      <c r="E1" s="242" t="s">
        <v>175</v>
      </c>
      <c r="F1" s="242" t="s">
        <v>176</v>
      </c>
      <c r="G1" s="242" t="s">
        <v>932</v>
      </c>
      <c r="H1" s="242" t="s">
        <v>178</v>
      </c>
      <c r="I1" s="243" t="s">
        <v>333</v>
      </c>
      <c r="J1" s="243" t="s">
        <v>334</v>
      </c>
      <c r="K1" s="243" t="s">
        <v>1331</v>
      </c>
      <c r="L1" s="242" t="s">
        <v>133</v>
      </c>
      <c r="M1" s="242" t="s">
        <v>1225</v>
      </c>
      <c r="N1" s="242" t="s">
        <v>1227</v>
      </c>
      <c r="O1" s="242" t="s">
        <v>1229</v>
      </c>
      <c r="P1" s="242" t="s">
        <v>1231</v>
      </c>
      <c r="Q1" s="242" t="s">
        <v>490</v>
      </c>
      <c r="R1" s="242" t="s">
        <v>478</v>
      </c>
      <c r="S1" s="242" t="s">
        <v>1233</v>
      </c>
      <c r="T1" s="242" t="s">
        <v>1235</v>
      </c>
      <c r="U1" s="242" t="s">
        <v>189</v>
      </c>
      <c r="V1" s="242" t="s">
        <v>190</v>
      </c>
      <c r="W1" s="242" t="s">
        <v>191</v>
      </c>
      <c r="X1" s="242" t="s">
        <v>817</v>
      </c>
      <c r="Y1" s="242" t="s">
        <v>413</v>
      </c>
    </row>
    <row r="2" customFormat="false" ht="15.65" hidden="false" customHeight="false" outlineLevel="0" collapsed="false">
      <c r="B2" s="0" t="s">
        <v>1332</v>
      </c>
      <c r="C2" s="0" t="s">
        <v>1333</v>
      </c>
      <c r="D2" s="0" t="s">
        <v>201</v>
      </c>
      <c r="E2" s="0" t="n">
        <v>1</v>
      </c>
      <c r="F2" s="0" t="s">
        <v>201</v>
      </c>
      <c r="G2" s="0" t="s">
        <v>1334</v>
      </c>
      <c r="I2" s="241" t="n">
        <v>43724</v>
      </c>
      <c r="J2" s="241" t="n">
        <v>43791</v>
      </c>
      <c r="X2" s="0" t="n">
        <v>0</v>
      </c>
      <c r="Y2" s="0" t="n">
        <v>0</v>
      </c>
    </row>
    <row r="3" customFormat="false" ht="13.8" hidden="false" customHeight="false" outlineLevel="0" collapsed="false">
      <c r="B3" s="241" t="n">
        <v>43709</v>
      </c>
      <c r="C3" s="0" t="s">
        <v>1335</v>
      </c>
      <c r="D3" s="0" t="s">
        <v>238</v>
      </c>
      <c r="E3" s="0" t="n">
        <v>2</v>
      </c>
      <c r="F3" s="0" t="s">
        <v>204</v>
      </c>
      <c r="G3" s="0" t="s">
        <v>241</v>
      </c>
      <c r="I3" s="241" t="n">
        <v>43724</v>
      </c>
      <c r="J3" s="241" t="n">
        <v>43728</v>
      </c>
      <c r="X3" s="0" t="n">
        <v>0</v>
      </c>
      <c r="Y3" s="0" t="n">
        <v>0</v>
      </c>
    </row>
    <row r="4" customFormat="false" ht="13.8" hidden="false" customHeight="false" outlineLevel="0" collapsed="false">
      <c r="B4" s="241" t="n">
        <v>43799</v>
      </c>
      <c r="C4" s="0" t="s">
        <v>1336</v>
      </c>
      <c r="D4" s="0" t="s">
        <v>1323</v>
      </c>
      <c r="E4" s="0" t="n">
        <v>3</v>
      </c>
      <c r="F4" s="0" t="s">
        <v>206</v>
      </c>
      <c r="G4" s="0" t="s">
        <v>1337</v>
      </c>
      <c r="I4" s="241" t="n">
        <v>43724</v>
      </c>
      <c r="J4" s="241" t="n">
        <v>43727</v>
      </c>
      <c r="X4" s="244" t="n">
        <v>1</v>
      </c>
      <c r="Y4" s="244" t="n">
        <v>1</v>
      </c>
    </row>
    <row r="5" customFormat="false" ht="13.8" hidden="false" customHeight="false" outlineLevel="0" collapsed="false">
      <c r="B5" s="244" t="n">
        <v>0.45</v>
      </c>
      <c r="C5" s="0" t="s">
        <v>1338</v>
      </c>
      <c r="D5" s="0" t="s">
        <v>1324</v>
      </c>
      <c r="E5" s="0" t="n">
        <v>3</v>
      </c>
      <c r="F5" s="0" t="s">
        <v>208</v>
      </c>
      <c r="G5" s="0" t="s">
        <v>1339</v>
      </c>
      <c r="I5" s="241" t="n">
        <v>43728</v>
      </c>
      <c r="J5" s="241" t="n">
        <v>43728</v>
      </c>
      <c r="K5" s="241" t="s">
        <v>1340</v>
      </c>
      <c r="Q5" s="241"/>
      <c r="X5" s="244" t="n">
        <v>1</v>
      </c>
      <c r="Y5" s="244" t="n">
        <v>1</v>
      </c>
    </row>
    <row r="6" customFormat="false" ht="13.8" hidden="false" customHeight="false" outlineLevel="0" collapsed="false">
      <c r="B6" s="245" t="n">
        <v>0.4333</v>
      </c>
      <c r="C6" s="0" t="s">
        <v>1341</v>
      </c>
      <c r="D6" s="0" t="s">
        <v>1326</v>
      </c>
      <c r="E6" s="0" t="n">
        <v>3</v>
      </c>
      <c r="F6" s="0" t="s">
        <v>1342</v>
      </c>
      <c r="G6" s="0" t="s">
        <v>1343</v>
      </c>
      <c r="I6" s="241" t="n">
        <v>43724</v>
      </c>
      <c r="J6" s="241" t="n">
        <v>43726</v>
      </c>
      <c r="X6" s="0" t="n">
        <v>0</v>
      </c>
      <c r="Y6" s="0" t="n">
        <v>0</v>
      </c>
    </row>
    <row r="7" customFormat="false" ht="13.8" hidden="false" customHeight="false" outlineLevel="0" collapsed="false">
      <c r="C7" s="0" t="s">
        <v>1344</v>
      </c>
      <c r="D7" s="0" t="s">
        <v>1325</v>
      </c>
      <c r="E7" s="0" t="n">
        <v>3</v>
      </c>
      <c r="F7" s="0" t="s">
        <v>1345</v>
      </c>
      <c r="G7" s="0" t="s">
        <v>1346</v>
      </c>
      <c r="I7" s="241" t="n">
        <v>43727</v>
      </c>
      <c r="J7" s="241" t="n">
        <v>43728</v>
      </c>
      <c r="X7" s="0" t="n">
        <v>0</v>
      </c>
      <c r="Y7" s="0" t="n">
        <v>0</v>
      </c>
    </row>
    <row r="8" customFormat="false" ht="13.8" hidden="false" customHeight="false" outlineLevel="0" collapsed="false">
      <c r="C8" s="0" t="s">
        <v>1347</v>
      </c>
      <c r="D8" s="0" t="s">
        <v>1348</v>
      </c>
      <c r="E8" s="0" t="n">
        <v>2</v>
      </c>
      <c r="F8" s="0" t="s">
        <v>214</v>
      </c>
      <c r="G8" s="0" t="s">
        <v>252</v>
      </c>
      <c r="I8" s="241" t="n">
        <v>43731</v>
      </c>
      <c r="J8" s="241" t="n">
        <v>43749</v>
      </c>
      <c r="X8" s="0" t="n">
        <v>0</v>
      </c>
      <c r="Y8" s="0" t="n">
        <v>0</v>
      </c>
    </row>
    <row r="9" customFormat="false" ht="13.8" hidden="false" customHeight="false" outlineLevel="0" collapsed="false">
      <c r="C9" s="0" t="s">
        <v>1349</v>
      </c>
      <c r="D9" s="0" t="s">
        <v>1350</v>
      </c>
      <c r="E9" s="0" t="n">
        <v>3</v>
      </c>
      <c r="F9" s="0" t="s">
        <v>216</v>
      </c>
      <c r="G9" s="0" t="s">
        <v>1351</v>
      </c>
      <c r="I9" s="241" t="n">
        <v>43731</v>
      </c>
      <c r="J9" s="241" t="n">
        <v>43735</v>
      </c>
      <c r="X9" s="0" t="n">
        <v>0</v>
      </c>
      <c r="Y9" s="0" t="n">
        <v>0</v>
      </c>
    </row>
    <row r="10" customFormat="false" ht="15.65" hidden="false" customHeight="false" outlineLevel="0" collapsed="false">
      <c r="C10" s="0" t="s">
        <v>1352</v>
      </c>
      <c r="D10" s="0" t="s">
        <v>1353</v>
      </c>
      <c r="E10" s="0" t="n">
        <v>3</v>
      </c>
      <c r="F10" s="0" t="s">
        <v>218</v>
      </c>
      <c r="G10" s="0" t="s">
        <v>1354</v>
      </c>
      <c r="I10" s="241" t="n">
        <v>43738</v>
      </c>
      <c r="J10" s="241" t="n">
        <v>43749</v>
      </c>
      <c r="X10" s="0" t="n">
        <v>0</v>
      </c>
      <c r="Y10" s="0" t="n">
        <v>0</v>
      </c>
    </row>
    <row r="11" customFormat="false" ht="13.8" hidden="false" customHeight="false" outlineLevel="0" collapsed="false">
      <c r="D11" s="0" t="s">
        <v>1355</v>
      </c>
      <c r="E11" s="0" t="n">
        <v>2</v>
      </c>
      <c r="F11" s="0" t="s">
        <v>224</v>
      </c>
      <c r="G11" s="0" t="s">
        <v>267</v>
      </c>
      <c r="I11" s="241" t="n">
        <v>43752</v>
      </c>
      <c r="J11" s="241" t="n">
        <v>43777</v>
      </c>
      <c r="X11" s="0" t="n">
        <v>0</v>
      </c>
      <c r="Y11" s="0" t="n">
        <v>0</v>
      </c>
    </row>
    <row r="12" customFormat="false" ht="13.8" hidden="false" customHeight="false" outlineLevel="0" collapsed="false">
      <c r="D12" s="0" t="s">
        <v>1356</v>
      </c>
      <c r="E12" s="0" t="n">
        <v>3</v>
      </c>
      <c r="F12" s="0" t="s">
        <v>226</v>
      </c>
      <c r="G12" s="0" t="s">
        <v>1357</v>
      </c>
      <c r="I12" s="241" t="n">
        <v>43752</v>
      </c>
      <c r="J12" s="241" t="n">
        <v>43770</v>
      </c>
      <c r="X12" s="0" t="n">
        <v>0</v>
      </c>
      <c r="Y12" s="0" t="n">
        <v>0</v>
      </c>
    </row>
    <row r="13" customFormat="false" ht="13.8" hidden="false" customHeight="false" outlineLevel="0" collapsed="false">
      <c r="D13" s="0" t="s">
        <v>1358</v>
      </c>
      <c r="E13" s="0" t="n">
        <v>3</v>
      </c>
      <c r="F13" s="0" t="s">
        <v>229</v>
      </c>
      <c r="G13" s="0" t="s">
        <v>1359</v>
      </c>
      <c r="I13" s="241" t="n">
        <v>43773</v>
      </c>
      <c r="J13" s="241" t="n">
        <v>43777</v>
      </c>
      <c r="X13" s="0" t="n">
        <v>0</v>
      </c>
      <c r="Y13" s="0" t="n">
        <v>0</v>
      </c>
    </row>
    <row r="14" customFormat="false" ht="13.8" hidden="false" customHeight="false" outlineLevel="0" collapsed="false">
      <c r="D14" s="0" t="s">
        <v>1360</v>
      </c>
      <c r="E14" s="0" t="n">
        <v>2</v>
      </c>
      <c r="F14" s="0" t="s">
        <v>1361</v>
      </c>
      <c r="G14" s="0" t="s">
        <v>1362</v>
      </c>
      <c r="I14" s="241" t="n">
        <v>43780</v>
      </c>
      <c r="J14" s="241" t="n">
        <v>43791</v>
      </c>
      <c r="X14" s="0" t="n">
        <v>0</v>
      </c>
      <c r="Y14" s="0" t="n">
        <v>0</v>
      </c>
    </row>
    <row r="15" customFormat="false" ht="13.8" hidden="false" customHeight="false" outlineLevel="0" collapsed="false">
      <c r="D15" s="0" t="s">
        <v>1363</v>
      </c>
      <c r="E15" s="0" t="n">
        <v>3</v>
      </c>
      <c r="F15" s="0" t="s">
        <v>1364</v>
      </c>
      <c r="G15" s="0" t="s">
        <v>1365</v>
      </c>
      <c r="I15" s="241" t="n">
        <v>43780</v>
      </c>
      <c r="J15" s="241" t="n">
        <v>43784</v>
      </c>
      <c r="X15" s="0" t="n">
        <v>0</v>
      </c>
      <c r="Y15" s="0" t="n">
        <v>0</v>
      </c>
    </row>
    <row r="16" customFormat="false" ht="15.65" hidden="false" customHeight="false" outlineLevel="0" collapsed="false">
      <c r="D16" s="0" t="s">
        <v>1366</v>
      </c>
      <c r="E16" s="0" t="n">
        <v>3</v>
      </c>
      <c r="F16" s="0" t="s">
        <v>1367</v>
      </c>
      <c r="G16" s="0" t="s">
        <v>1368</v>
      </c>
      <c r="I16" s="241" t="n">
        <v>43787</v>
      </c>
      <c r="J16" s="241" t="n">
        <v>43789</v>
      </c>
      <c r="K16" s="241" t="s">
        <v>1369</v>
      </c>
      <c r="X16" s="0" t="n">
        <v>0</v>
      </c>
      <c r="Y16" s="0" t="n">
        <v>0</v>
      </c>
    </row>
    <row r="17" customFormat="false" ht="13.8" hidden="false" customHeight="false" outlineLevel="0" collapsed="false">
      <c r="D17" s="0" t="s">
        <v>1370</v>
      </c>
      <c r="E17" s="0" t="n">
        <v>3</v>
      </c>
      <c r="F17" s="0" t="s">
        <v>1371</v>
      </c>
      <c r="G17" s="0" t="s">
        <v>1372</v>
      </c>
      <c r="I17" s="241" t="n">
        <v>43790</v>
      </c>
      <c r="J17" s="241" t="n">
        <v>43791</v>
      </c>
      <c r="X17" s="0" t="n">
        <v>0</v>
      </c>
      <c r="Y17" s="0" t="n">
        <v>0</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Template/>
  <TotalTime>53</TotalTime>
  <Application>Trio_Office/6.2.8.2$Windows_x86 LibreOffice_project/</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2018-02-18T09:45:14Z</dcterms:created>
  <dc:creator>Windows 사용자</dc:creator>
  <dc:description/>
  <dc:language>ko-KR</dc:language>
  <cp:lastModifiedBy/>
  <cp:lastPrinted>2019-08-24T08:53:04Z</cp:lastPrinted>
  <dcterms:modified xsi:type="dcterms:W3CDTF">2020-04-20T17:04:25Z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